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my-git\DataScience-novaIMS\APPM-grupo\"/>
    </mc:Choice>
  </mc:AlternateContent>
  <xr:revisionPtr revIDLastSave="0" documentId="13_ncr:1_{CDAADC42-E9F4-4EA5-B56E-560AC3292D8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VT" sheetId="2" r:id="rId1"/>
    <sheet name="Asset_list" sheetId="1" r:id="rId2"/>
    <sheet name="yahooData" sheetId="3" r:id="rId3"/>
    <sheet name="selection3" sheetId="4" r:id="rId4"/>
  </sheets>
  <definedNames>
    <definedName name="_xlnm._FilterDatabase" localSheetId="1" hidden="1">Asset_list!$A$1:$K$89</definedName>
    <definedName name="_xlnm._FilterDatabase" localSheetId="3" hidden="1">selection3!$A$1:$D$1</definedName>
  </definedNames>
  <calcPr calcId="191028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3" i="1"/>
  <c r="H25" i="1"/>
  <c r="H30" i="1"/>
  <c r="H29" i="1"/>
  <c r="H57" i="1"/>
  <c r="H58" i="1"/>
  <c r="H40" i="1"/>
  <c r="H41" i="1"/>
  <c r="H42" i="1"/>
  <c r="H43" i="1"/>
  <c r="H44" i="1"/>
  <c r="H84" i="1"/>
  <c r="H86" i="1"/>
  <c r="H87" i="1"/>
  <c r="H28" i="1"/>
  <c r="H27" i="1"/>
  <c r="H2" i="1"/>
  <c r="H88" i="1"/>
  <c r="H89" i="1"/>
  <c r="H3" i="1"/>
  <c r="H8" i="1"/>
  <c r="H9" i="1"/>
  <c r="H10" i="1"/>
  <c r="H13" i="1"/>
  <c r="H22" i="1"/>
  <c r="H11" i="1"/>
  <c r="H12" i="1"/>
  <c r="H24" i="1"/>
  <c r="H14" i="1"/>
  <c r="H15" i="1"/>
  <c r="H16" i="1"/>
  <c r="H17" i="1"/>
  <c r="H18" i="1"/>
  <c r="H19" i="1"/>
  <c r="H20" i="1"/>
  <c r="H21" i="1"/>
  <c r="H45" i="1"/>
  <c r="H61" i="1"/>
  <c r="H46" i="1"/>
  <c r="H47" i="1"/>
  <c r="H56" i="1"/>
  <c r="H59" i="1"/>
  <c r="H60" i="1"/>
  <c r="H62" i="1"/>
  <c r="H63" i="1"/>
  <c r="H64" i="1"/>
  <c r="H65" i="1"/>
  <c r="H66" i="1"/>
  <c r="H67" i="1"/>
  <c r="H73" i="1"/>
  <c r="H68" i="1"/>
  <c r="H69" i="1"/>
  <c r="H70" i="1"/>
  <c r="H71" i="1"/>
  <c r="H72" i="1"/>
  <c r="H79" i="1"/>
  <c r="H74" i="1"/>
  <c r="H75" i="1"/>
  <c r="H76" i="1"/>
  <c r="H77" i="1"/>
  <c r="H78" i="1"/>
  <c r="H85" i="1"/>
  <c r="H80" i="1"/>
  <c r="H81" i="1"/>
  <c r="H82" i="1"/>
  <c r="H83" i="1"/>
  <c r="H37" i="1"/>
  <c r="H38" i="1"/>
  <c r="H48" i="1"/>
  <c r="H49" i="1"/>
  <c r="H50" i="1"/>
  <c r="H51" i="1"/>
  <c r="H52" i="1"/>
  <c r="H53" i="1"/>
  <c r="H54" i="1"/>
  <c r="H55" i="1"/>
  <c r="H39" i="1"/>
  <c r="H36" i="1"/>
</calcChain>
</file>

<file path=xl/sharedStrings.xml><?xml version="1.0" encoding="utf-8"?>
<sst xmlns="http://schemas.openxmlformats.org/spreadsheetml/2006/main" count="1164" uniqueCount="361">
  <si>
    <t>selection1</t>
  </si>
  <si>
    <t>(All)</t>
  </si>
  <si>
    <t>selection2</t>
  </si>
  <si>
    <t>X</t>
  </si>
  <si>
    <t>Row Labels</t>
  </si>
  <si>
    <t>Count of ticker</t>
  </si>
  <si>
    <t>Bonds</t>
  </si>
  <si>
    <t>iShares 0-3 Month Treasury Bond ETF</t>
  </si>
  <si>
    <t>iShares 10-20 Year Treasury Bond ETF</t>
  </si>
  <si>
    <t>iShares Core 1-5 Year USD Bond ETF</t>
  </si>
  <si>
    <t>iShares Global Government Bond USD Hedged Active ETF</t>
  </si>
  <si>
    <t>iShares J.P. Morgan USD Emerging Markets Bond ETF</t>
  </si>
  <si>
    <t>Invesco DB Agriculture Fund</t>
  </si>
  <si>
    <t>Invesco DB Base Metals Fund</t>
  </si>
  <si>
    <t>iShares Silver Trust</t>
  </si>
  <si>
    <t>ProShares K-1 Free Crude Oil ETF</t>
  </si>
  <si>
    <t>SPDR Gold Shares</t>
  </si>
  <si>
    <t>Teucrium Sugar Fund</t>
  </si>
  <si>
    <t>United States Copper Index Fund</t>
  </si>
  <si>
    <t>Crypto assets</t>
  </si>
  <si>
    <t>iShares Bitcoin Trust ETF</t>
  </si>
  <si>
    <t>SPDR S&amp;P 500</t>
  </si>
  <si>
    <t>iShares Europe ETF</t>
  </si>
  <si>
    <t>iShares Latin America 40 ETF</t>
  </si>
  <si>
    <t>iShares MSCI China ETF</t>
  </si>
  <si>
    <t>iShares MSCI India ETF</t>
  </si>
  <si>
    <t>iShares MSCI Japan ETF</t>
  </si>
  <si>
    <t>iShares MSCI Saudi Arabia ETF</t>
  </si>
  <si>
    <t>iShares MSCI-Australia ETF</t>
  </si>
  <si>
    <t>Grand Total</t>
  </si>
  <si>
    <t>asset type</t>
  </si>
  <si>
    <t>asset_class</t>
  </si>
  <si>
    <t>Tracker</t>
  </si>
  <si>
    <t>ticker</t>
  </si>
  <si>
    <t>name</t>
  </si>
  <si>
    <t>currency</t>
  </si>
  <si>
    <t>exchange</t>
  </si>
  <si>
    <t>ETF</t>
  </si>
  <si>
    <t>SP500</t>
  </si>
  <si>
    <t>SPY</t>
  </si>
  <si>
    <t>USD</t>
  </si>
  <si>
    <t>NYSEArca</t>
  </si>
  <si>
    <t>NASDAQ100</t>
  </si>
  <si>
    <t>QQQ</t>
  </si>
  <si>
    <t>Invesco QQQ Trust, Series 1</t>
  </si>
  <si>
    <t>NasdaqGM</t>
  </si>
  <si>
    <t>World</t>
  </si>
  <si>
    <t>URTH</t>
  </si>
  <si>
    <t>iShares MSCI World</t>
  </si>
  <si>
    <t>SWI 20-35 (dis)</t>
  </si>
  <si>
    <t>SW2CHA.SW</t>
  </si>
  <si>
    <t>UBSETF MSCICHL CHFd</t>
  </si>
  <si>
    <t>CHF</t>
  </si>
  <si>
    <t>SWI</t>
  </si>
  <si>
    <t>SWI 20-35 (acc)</t>
  </si>
  <si>
    <t>SW2CHB.SW</t>
  </si>
  <si>
    <t>UBSETF MSCICHL CHFa</t>
  </si>
  <si>
    <t>EUR.50</t>
  </si>
  <si>
    <t>EUN2.DE</t>
  </si>
  <si>
    <t>iShsII-Core EUR.STOXX 50</t>
  </si>
  <si>
    <t>EUR</t>
  </si>
  <si>
    <t>XETRA</t>
  </si>
  <si>
    <t>EUR.600</t>
  </si>
  <si>
    <t>EXSA.DE</t>
  </si>
  <si>
    <t>iSh.STOXX Europe 600 U.ETF</t>
  </si>
  <si>
    <t>DAX</t>
  </si>
  <si>
    <t>Global X DAX Germany</t>
  </si>
  <si>
    <t>ASX 20</t>
  </si>
  <si>
    <t>ILC.AX</t>
  </si>
  <si>
    <t>ISHLGECAP</t>
  </si>
  <si>
    <t>AUD</t>
  </si>
  <si>
    <t>ASX</t>
  </si>
  <si>
    <t>ASX 200</t>
  </si>
  <si>
    <t>STW.AX</t>
  </si>
  <si>
    <t>SPDR 200</t>
  </si>
  <si>
    <t>EXS1.DE</t>
  </si>
  <si>
    <t>iShares Core DAX UCITS ETF (DE) EUR</t>
  </si>
  <si>
    <t>Emerging</t>
  </si>
  <si>
    <t>EEM</t>
  </si>
  <si>
    <t>iShares MSCI Emerging Markets ETF</t>
  </si>
  <si>
    <t>EMXC</t>
  </si>
  <si>
    <t>iShares MSCI Emerging Markets ex China ETF</t>
  </si>
  <si>
    <t>CAC 40</t>
  </si>
  <si>
    <t>CACC.PA</t>
  </si>
  <si>
    <t>Amundi CAC 40 UCITS ETF Acc</t>
  </si>
  <si>
    <t>Euronext Paris</t>
  </si>
  <si>
    <t>Japan</t>
  </si>
  <si>
    <t>EWJ</t>
  </si>
  <si>
    <t>FUTURES</t>
  </si>
  <si>
    <t>Bitcoin</t>
  </si>
  <si>
    <t>BTC=F</t>
  </si>
  <si>
    <t>Bitcoin Futures</t>
  </si>
  <si>
    <t>CME</t>
  </si>
  <si>
    <t>BITO</t>
  </si>
  <si>
    <t>ProShares Bitcoin ETF</t>
  </si>
  <si>
    <t>Ethereum</t>
  </si>
  <si>
    <t>ETH=F</t>
  </si>
  <si>
    <t>IBIT</t>
  </si>
  <si>
    <t>Gold</t>
  </si>
  <si>
    <t>GLD</t>
  </si>
  <si>
    <t>Silver</t>
  </si>
  <si>
    <t>SLV</t>
  </si>
  <si>
    <t>GC=F</t>
  </si>
  <si>
    <t>COMEX</t>
  </si>
  <si>
    <t>Crude Oil</t>
  </si>
  <si>
    <t>OILK</t>
  </si>
  <si>
    <t>CBOE US</t>
  </si>
  <si>
    <t>CL=F</t>
  </si>
  <si>
    <t>Crude Oil </t>
  </si>
  <si>
    <t>NY Merc</t>
  </si>
  <si>
    <t>Agriculture</t>
  </si>
  <si>
    <t>DBA</t>
  </si>
  <si>
    <t>Metals</t>
  </si>
  <si>
    <t>DBB</t>
  </si>
  <si>
    <t>Copper</t>
  </si>
  <si>
    <t>CPER</t>
  </si>
  <si>
    <t>Sugar</t>
  </si>
  <si>
    <t>CANE</t>
  </si>
  <si>
    <t>US Bonds 20y</t>
  </si>
  <si>
    <t>TLT</t>
  </si>
  <si>
    <t>iShares 20+ Year Treasury Bond ETF</t>
  </si>
  <si>
    <t>US Bonds 10y</t>
  </si>
  <si>
    <t>TLH</t>
  </si>
  <si>
    <t>US Bonds 7y</t>
  </si>
  <si>
    <t>IEF</t>
  </si>
  <si>
    <t>iShares 7-10 Year Treasury Bond ETF</t>
  </si>
  <si>
    <t>US Bonds 1y</t>
  </si>
  <si>
    <t>ISTB</t>
  </si>
  <si>
    <t>US Bonds</t>
  </si>
  <si>
    <t>GOVI</t>
  </si>
  <si>
    <t>Invesco Equal Weight 0-30 Years Treasury ETF</t>
  </si>
  <si>
    <t>Euro Bonds</t>
  </si>
  <si>
    <t>EXHF.DE</t>
  </si>
  <si>
    <t>IShares Euro Government Bond Capped 1.5y-10.5y UCITS ETF</t>
  </si>
  <si>
    <t>German Bonds</t>
  </si>
  <si>
    <t>GGOV</t>
  </si>
  <si>
    <t>Emerging market  Bonds</t>
  </si>
  <si>
    <t>EMB</t>
  </si>
  <si>
    <t>French Bonds</t>
  </si>
  <si>
    <t>IFRB.L</t>
  </si>
  <si>
    <t>iShares France Govt Bond UCITS ETF EUR (Dist) (IFRB.L)</t>
  </si>
  <si>
    <t>LSE</t>
  </si>
  <si>
    <t>Italian Bonds</t>
  </si>
  <si>
    <t>BTP10.MI</t>
  </si>
  <si>
    <t>Amundi Italy BTP Government Bond 10Y UCITS ETF Acc</t>
  </si>
  <si>
    <t>Euronext Milan</t>
  </si>
  <si>
    <t>UK Bonds</t>
  </si>
  <si>
    <t>IGLT.L</t>
  </si>
  <si>
    <t>iShares Core UK Gilts UCITS ETF GBP</t>
  </si>
  <si>
    <t>GBP</t>
  </si>
  <si>
    <t>IBC1.MU</t>
  </si>
  <si>
    <t>iShares USD Treasury Bond 0-1yr UCITS ETF</t>
  </si>
  <si>
    <t>Munich</t>
  </si>
  <si>
    <t>US Bonds 0y</t>
  </si>
  <si>
    <t>IBCC.MU</t>
  </si>
  <si>
    <t>Ishares Treasury Bond 0-1 year UCITS ETF</t>
  </si>
  <si>
    <t>US Bonds 3y</t>
  </si>
  <si>
    <t>CBU7L.XC</t>
  </si>
  <si>
    <t>iShares USD Treasury Bond 3-7yr</t>
  </si>
  <si>
    <t>USD??</t>
  </si>
  <si>
    <t>CBOE UK</t>
  </si>
  <si>
    <t>SXRL.DE</t>
  </si>
  <si>
    <t>iShares $ Treasury Bond 3-7yr UCITS ETF USD</t>
  </si>
  <si>
    <t>SGOV</t>
  </si>
  <si>
    <t>Asia</t>
  </si>
  <si>
    <t>AIA</t>
  </si>
  <si>
    <t>iShares Asia 50 ETF</t>
  </si>
  <si>
    <t>Saudi Arabia</t>
  </si>
  <si>
    <t>KSA</t>
  </si>
  <si>
    <t>Brasil</t>
  </si>
  <si>
    <t>EWZ</t>
  </si>
  <si>
    <t>iShares MSCI Brazil ETF</t>
  </si>
  <si>
    <t>Mexico</t>
  </si>
  <si>
    <t>EWW</t>
  </si>
  <si>
    <t>iShares MSCI Mexico ETF</t>
  </si>
  <si>
    <t>Latin America</t>
  </si>
  <si>
    <t>ILF</t>
  </si>
  <si>
    <t>Chile</t>
  </si>
  <si>
    <t>ECH</t>
  </si>
  <si>
    <t>iShares MSCI Chile ETF</t>
  </si>
  <si>
    <t>Argentina</t>
  </si>
  <si>
    <t>ARGT</t>
  </si>
  <si>
    <t>Global X MSCI Argentina ETF</t>
  </si>
  <si>
    <t>Poland</t>
  </si>
  <si>
    <t>EPOL</t>
  </si>
  <si>
    <t>iShares MSCI Poland ETF</t>
  </si>
  <si>
    <t>Turkey</t>
  </si>
  <si>
    <t>TUR</t>
  </si>
  <si>
    <t>iShares MSCI Turkey ETF</t>
  </si>
  <si>
    <t>India</t>
  </si>
  <si>
    <t>INDA</t>
  </si>
  <si>
    <t>China</t>
  </si>
  <si>
    <t>MCHI</t>
  </si>
  <si>
    <t>Europe</t>
  </si>
  <si>
    <t>VGK</t>
  </si>
  <si>
    <t>Vanguard FTSE Europe ETF</t>
  </si>
  <si>
    <t>Eurozone</t>
  </si>
  <si>
    <t>EZU</t>
  </si>
  <si>
    <t>iShares MSCI Eurozone ETF</t>
  </si>
  <si>
    <t>IEUR</t>
  </si>
  <si>
    <t>iShares Core MSCI Europe ETF</t>
  </si>
  <si>
    <t>Euro 50</t>
  </si>
  <si>
    <t>FEZ</t>
  </si>
  <si>
    <t>SPDR EURO STOXX 50 ETF</t>
  </si>
  <si>
    <t>UK</t>
  </si>
  <si>
    <t>EWU</t>
  </si>
  <si>
    <t>iShares MSCI United Kingdom ETF</t>
  </si>
  <si>
    <t>IEV</t>
  </si>
  <si>
    <t>Germany</t>
  </si>
  <si>
    <t>EWG</t>
  </si>
  <si>
    <t>iShares MSCI Germany ETF</t>
  </si>
  <si>
    <t>Switzerland</t>
  </si>
  <si>
    <t>EWL</t>
  </si>
  <si>
    <t>iShares MSCI Switzerland ETF</t>
  </si>
  <si>
    <t>FLGB</t>
  </si>
  <si>
    <t>Franklin FTSE United Kingdom ETF</t>
  </si>
  <si>
    <t>Italy</t>
  </si>
  <si>
    <t>EWI</t>
  </si>
  <si>
    <t>iShares MSCI Italy ETF</t>
  </si>
  <si>
    <t>France</t>
  </si>
  <si>
    <t>EWQ</t>
  </si>
  <si>
    <t>iShares MSCI France ETF</t>
  </si>
  <si>
    <t>Sweden</t>
  </si>
  <si>
    <t>EWD</t>
  </si>
  <si>
    <t>iShares MSCI Sweden ETF</t>
  </si>
  <si>
    <t>Greece</t>
  </si>
  <si>
    <t>GREK</t>
  </si>
  <si>
    <t>Global X MSCI Greece ETF</t>
  </si>
  <si>
    <t>Netherlands</t>
  </si>
  <si>
    <t>EWN</t>
  </si>
  <si>
    <t>iShares MSCI Netherlands ETF</t>
  </si>
  <si>
    <t>Global X DAX Germany ETF</t>
  </si>
  <si>
    <t>Taiwan</t>
  </si>
  <si>
    <t>EWT</t>
  </si>
  <si>
    <t>iShares MSCI Taiwan ETF</t>
  </si>
  <si>
    <t>Korea</t>
  </si>
  <si>
    <t>EWY</t>
  </si>
  <si>
    <t>iShares MSCI South Korea ETF</t>
  </si>
  <si>
    <t>Australia</t>
  </si>
  <si>
    <t>EWA</t>
  </si>
  <si>
    <t>Equity</t>
  </si>
  <si>
    <t>Symbol</t>
  </si>
  <si>
    <t>Name</t>
  </si>
  <si>
    <t>Earliest</t>
  </si>
  <si>
    <t>Latest</t>
  </si>
  <si>
    <t>fundFamily</t>
  </si>
  <si>
    <t>fundInceptionDate</t>
  </si>
  <si>
    <t>iShs DL Treas.Bd 0-1yr UC.ETF R</t>
  </si>
  <si>
    <t xml:space="preserve">BlackRock ETF Trust II iShares </t>
  </si>
  <si>
    <t>iShares</t>
  </si>
  <si>
    <t>iShs VII-$ Trsy Bd 3-7yr U.ETFR</t>
  </si>
  <si>
    <t>BlackRock Asset Management Ireland - ETF</t>
  </si>
  <si>
    <t>Amundi Ita BTP Govmnt Bnd 10Y U</t>
  </si>
  <si>
    <t>Amundi Luxembourg S.A.</t>
  </si>
  <si>
    <t>iShares Bitcoin Trust ETF - iSh</t>
  </si>
  <si>
    <t>ProShares</t>
  </si>
  <si>
    <t>Ether Futures,Oct-2025</t>
  </si>
  <si>
    <t>iShares 0-3 Month Treasury Bond</t>
  </si>
  <si>
    <t>Amundi Asset Management</t>
  </si>
  <si>
    <t>Bitcoin Futures,Oct-2025</t>
  </si>
  <si>
    <t>Franklin FTSE</t>
  </si>
  <si>
    <t>Franklin Templeton Investments</t>
  </si>
  <si>
    <t>iShares MSCI Emerging Markets e</t>
  </si>
  <si>
    <t>ProShares K-1 Free Crude Oil ET</t>
  </si>
  <si>
    <t>iShares Trust iShares MSCI Saud</t>
  </si>
  <si>
    <t>Global X Funds</t>
  </si>
  <si>
    <t>UBS Asset Management (Europe) S.A.</t>
  </si>
  <si>
    <t xml:space="preserve">iShares Core 1-5 Year USD Bond </t>
  </si>
  <si>
    <t>ISHARES V PUBLIC LIMITED COMPAN</t>
  </si>
  <si>
    <t>Ishares MSCI India ETF</t>
  </si>
  <si>
    <t>iShares, Inc. iShares MSCI Worl</t>
  </si>
  <si>
    <t>USCF Investments</t>
  </si>
  <si>
    <t>Teucrium Sugar Fund ETV</t>
  </si>
  <si>
    <t>Teucrium</t>
  </si>
  <si>
    <t>ISHLGECAP ISHLGECAP [ILC]</t>
  </si>
  <si>
    <t>BlackRock Investment Management (Australia) Limited</t>
  </si>
  <si>
    <t>iShares J.P. Morgan USD Emergin</t>
  </si>
  <si>
    <t>iShsII-Core EUR.STOXX 50 EURD R</t>
  </si>
  <si>
    <t>iShares MSCI Germany Index Fund</t>
  </si>
  <si>
    <t>SPDR DJ Euro STOXX 50 Etf</t>
  </si>
  <si>
    <t>SPDR State Street Investment Management</t>
  </si>
  <si>
    <t>iShares MSCI Japan Index Fund</t>
  </si>
  <si>
    <t>ISHARES II PLC ISHRS CORE UK GI</t>
  </si>
  <si>
    <t>Crude Oil Nov 25</t>
  </si>
  <si>
    <t>iShares Trust iShares MSCI Pola</t>
  </si>
  <si>
    <t>iShares Inc iShares MSCI Mexico</t>
  </si>
  <si>
    <t>Invesco</t>
  </si>
  <si>
    <t>iShares MSCI Australia Index Fu</t>
  </si>
  <si>
    <t xml:space="preserve">iShares MSCI Netherlands Index </t>
  </si>
  <si>
    <t>SPDR Gold Trust</t>
  </si>
  <si>
    <t>iShares MSCI France Index Fund</t>
  </si>
  <si>
    <t xml:space="preserve">iShares Inc iShares MSCI Italy </t>
  </si>
  <si>
    <t>iShares Inc iShares MSCI Brazil</t>
  </si>
  <si>
    <t>iShares Inc iShares MSCI Taiwan</t>
  </si>
  <si>
    <t>Gold Dec 25</t>
  </si>
  <si>
    <t>iSh.STOXX Europe 600 U.ETF DE I</t>
  </si>
  <si>
    <t>BlackRock Asset Management Deutschland AG - ETF</t>
  </si>
  <si>
    <t xml:space="preserve">iShares 20+ Year Treasury Bond </t>
  </si>
  <si>
    <t>iShares Core DAX UCITS ETF DE I</t>
  </si>
  <si>
    <t>iShares Inc iShares MSCI Sweden</t>
  </si>
  <si>
    <t>iShares Inc. iShares MSCI Chile</t>
  </si>
  <si>
    <t>iShares MSCI Emerging Index Fun</t>
  </si>
  <si>
    <t>iShares MSCI</t>
  </si>
  <si>
    <t>iShares 10-20 Year Treasury Bon</t>
  </si>
  <si>
    <t>iS.EO G.B.C.1.5-10.5y.U.ETF DEI</t>
  </si>
  <si>
    <t>iShares Inc iShares MSCI Switze</t>
  </si>
  <si>
    <t xml:space="preserve">Invesco Equal Weight 0-30 Year </t>
  </si>
  <si>
    <t>SPDR 200 ETF UNITS [STW]</t>
  </si>
  <si>
    <t>State Street Global Advisors (Aus) Ltd</t>
  </si>
  <si>
    <t>Vanguard FTSEEuropean ETF</t>
  </si>
  <si>
    <t>Vanguard</t>
  </si>
  <si>
    <t xml:space="preserve">iShares Inc iShares MSCI South </t>
  </si>
  <si>
    <t>iShares 7-10 Year Treasury Bond</t>
  </si>
  <si>
    <t>USO</t>
  </si>
  <si>
    <t>United States Oil Fund</t>
  </si>
  <si>
    <t>UCO</t>
  </si>
  <si>
    <t>ProShares Ultra Bloomberg Crude Oil</t>
  </si>
  <si>
    <t>International Bonds</t>
  </si>
  <si>
    <t>BWX</t>
  </si>
  <si>
    <t>SPDR Bloomberg International Treasury Bond ETF</t>
  </si>
  <si>
    <t>Chinese Bonds</t>
  </si>
  <si>
    <t>CBON</t>
  </si>
  <si>
    <t>Vanguard Short-Term Treasury ETF</t>
  </si>
  <si>
    <t>VGSH</t>
  </si>
  <si>
    <t>US Bonds short term</t>
  </si>
  <si>
    <t>SPDR Bloomberg International Tr</t>
  </si>
  <si>
    <t>Vanguard Short-Term Treasury ET</t>
  </si>
  <si>
    <t>ProShares Ultra Bloomberg Crude</t>
  </si>
  <si>
    <t>VanEck China Bond ETF</t>
  </si>
  <si>
    <t>VanEck</t>
  </si>
  <si>
    <t>selection3</t>
  </si>
  <si>
    <t>start_date</t>
  </si>
  <si>
    <t>Years (start_date)</t>
  </si>
  <si>
    <t>Quarters (start_date)</t>
  </si>
  <si>
    <t>Months (start_date)</t>
  </si>
  <si>
    <t>(Multiple Items)</t>
  </si>
  <si>
    <t>Energy</t>
  </si>
  <si>
    <t>Corn</t>
  </si>
  <si>
    <t>CORN</t>
  </si>
  <si>
    <t>Teucrium Corn Fund</t>
  </si>
  <si>
    <t>WEAT</t>
  </si>
  <si>
    <t>SOYB</t>
  </si>
  <si>
    <t>Teucrium Soybean Fund</t>
  </si>
  <si>
    <t>Teucrium Wheat Fund</t>
  </si>
  <si>
    <t>FAAR</t>
  </si>
  <si>
    <t>First Trust Alternative Absolute Return Strategy ETF</t>
  </si>
  <si>
    <t>Wheat</t>
  </si>
  <si>
    <t>Soybeans</t>
  </si>
  <si>
    <t>UNG</t>
  </si>
  <si>
    <t>United States Natural Gas Fund LP</t>
  </si>
  <si>
    <t>ProShares Ultra Bloomberg Natural Gas</t>
  </si>
  <si>
    <t>BOIL</t>
  </si>
  <si>
    <t>KraneShares Global Carbon Strategy ETF</t>
  </si>
  <si>
    <t>KRBN</t>
  </si>
  <si>
    <t>United States Gasoline Fund LP</t>
  </si>
  <si>
    <t>UGA</t>
  </si>
  <si>
    <t>Invesco DB Energy Fund</t>
  </si>
  <si>
    <t>DBE</t>
  </si>
  <si>
    <t>Natural Gas</t>
  </si>
  <si>
    <t>Gasoline</t>
  </si>
  <si>
    <t>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</si>
</sst>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B3B3B"/>
      <name val="Consolas"/>
      <family val="3"/>
    </font>
    <font>
      <sz val="8"/>
      <color rgb="FF232A31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1"/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3" borderId="1" xfId="1" applyFill="1" applyBorder="1" applyAlignment="1">
      <alignment vertical="top" wrapText="1"/>
    </xf>
    <xf numFmtId="0" fontId="4" fillId="4" borderId="1" xfId="1" applyFill="1" applyBorder="1" applyAlignment="1">
      <alignment vertical="top" wrapText="1"/>
    </xf>
    <xf numFmtId="0" fontId="4" fillId="3" borderId="2" xfId="1" applyFill="1" applyBorder="1" applyAlignment="1">
      <alignment vertical="top" wrapText="1"/>
    </xf>
    <xf numFmtId="0" fontId="4" fillId="3" borderId="3" xfId="1" applyFill="1" applyBorder="1" applyAlignment="1">
      <alignment vertical="top" wrapText="1"/>
    </xf>
    <xf numFmtId="0" fontId="4" fillId="4" borderId="4" xfId="1" applyFill="1" applyBorder="1" applyAlignment="1">
      <alignment vertical="top" wrapText="1"/>
    </xf>
    <xf numFmtId="0" fontId="4" fillId="3" borderId="4" xfId="1" applyFill="1" applyBorder="1" applyAlignment="1">
      <alignment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14" fontId="1" fillId="2" borderId="0" xfId="0" applyNumberFormat="1" applyFont="1" applyFill="1" applyAlignment="1">
      <alignment horizontal="center"/>
    </xf>
    <xf numFmtId="0" fontId="4" fillId="3" borderId="0" xfId="1" applyFill="1" applyBorder="1" applyAlignment="1">
      <alignment vertical="top" wrapText="1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4" fillId="4" borderId="2" xfId="1" applyFill="1" applyBorder="1" applyAlignment="1">
      <alignment vertical="top" wrapText="1"/>
    </xf>
    <xf numFmtId="0" fontId="4" fillId="0" borderId="0" xfId="1" applyBorder="1"/>
    <xf numFmtId="0" fontId="4" fillId="4" borderId="3" xfId="1" applyFill="1" applyBorder="1" applyAlignment="1">
      <alignment vertical="top" wrapText="1"/>
    </xf>
    <xf numFmtId="0" fontId="0" fillId="0" borderId="0" xfId="0" applyNumberFormat="1"/>
    <xf numFmtId="0" fontId="2" fillId="0" borderId="0" xfId="0" applyFont="1" applyBorder="1" applyAlignment="1">
      <alignment vertical="center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no Ricardo" refreshedDate="45941.848901273152" createdVersion="8" refreshedVersion="8" minRefreshableVersion="3" recordCount="89" xr:uid="{81D4E1E4-3282-4B38-BB41-00C3B9DF9E11}">
  <cacheSource type="worksheet">
    <worksheetSource ref="A1:K1048576" sheet="Asset_list"/>
  </cacheSource>
  <cacheFields count="14">
    <cacheField name="asset type" numFmtId="0">
      <sharedItems containsBlank="1" count="3">
        <s v="ETF"/>
        <s v="FUTURES"/>
        <m/>
      </sharedItems>
    </cacheField>
    <cacheField name="asset_class" numFmtId="0">
      <sharedItems containsBlank="1" count="7">
        <s v="Agriculture"/>
        <s v="Bonds"/>
        <s v="Energy"/>
        <s v="Equity"/>
        <s v="Crypto assets"/>
        <s v="Metals"/>
        <m/>
      </sharedItems>
    </cacheField>
    <cacheField name="Tracker" numFmtId="0">
      <sharedItems containsBlank="1"/>
    </cacheField>
    <cacheField name="ticker" numFmtId="0">
      <sharedItems containsBlank="1" count="87">
        <s v="DBA"/>
        <s v="CANE"/>
        <s v="CORN"/>
        <s v="WEAT"/>
        <s v="SOYB"/>
        <s v="FAAR"/>
        <s v="TLT"/>
        <s v="TLH"/>
        <s v="IEF"/>
        <s v="EXHF.DE"/>
        <s v="GGOV"/>
        <s v="ISTB"/>
        <s v="IFRB.L"/>
        <s v="BTP10.MI"/>
        <s v="IGLT.L"/>
        <s v="IBC1.MU"/>
        <s v="IBCC.MU"/>
        <s v="CBU7L.XC"/>
        <s v="SXRL.DE"/>
        <s v="SGOV"/>
        <s v="GOVI"/>
        <s v="CBON"/>
        <s v="EMB"/>
        <s v="BWX"/>
        <s v="VGSH"/>
        <s v="CL=F"/>
        <s v="OILK"/>
        <s v="USO"/>
        <s v="UCO"/>
        <s v="UNG"/>
        <s v="BOIL"/>
        <s v="KRBN"/>
        <s v="UGA"/>
        <s v="DBE"/>
        <s v="SPY"/>
        <s v="QQQ"/>
        <s v="URTH"/>
        <s v="EEM"/>
        <s v="EWJ"/>
        <s v="BTC=F"/>
        <s v="BITO"/>
        <s v="ETH=F"/>
        <s v="IBIT"/>
        <s v="AIA"/>
        <s v="EWZ"/>
        <s v="EWW"/>
        <s v="SW2CHA.SW"/>
        <s v="SW2CHB.SW"/>
        <s v="EUN2.DE"/>
        <s v="EXSA.DE"/>
        <s v="DAX"/>
        <s v="ILC.AX"/>
        <s v="STW.AX"/>
        <s v="EXS1.DE"/>
        <s v="ILF"/>
        <s v="EMXC"/>
        <s v="CACC.PA"/>
        <s v="ECH"/>
        <s v="ARGT"/>
        <s v="KSA"/>
        <s v="EPOL"/>
        <s v="TUR"/>
        <s v="INDA"/>
        <s v="MCHI"/>
        <s v="VGK"/>
        <s v="EZU"/>
        <s v="FEZ"/>
        <s v="EWU"/>
        <s v="IEV"/>
        <s v="EWG"/>
        <s v="EWL"/>
        <s v="IEUR"/>
        <s v="EWI"/>
        <s v="EWQ"/>
        <s v="EWD"/>
        <s v="GREK"/>
        <s v="EWN"/>
        <s v="FLGB"/>
        <s v="EWT"/>
        <s v="EWY"/>
        <s v="EWA"/>
        <s v="GLD"/>
        <s v="SLV"/>
        <s v="GC=F"/>
        <s v="DBB"/>
        <s v="CPER"/>
        <m/>
      </sharedItems>
    </cacheField>
    <cacheField name="name" numFmtId="0">
      <sharedItems containsBlank="1" count="87">
        <s v="Invesco DB Agriculture Fund"/>
        <s v="Teucrium Sugar Fund"/>
        <s v="Teucrium Corn Fund"/>
        <s v="Teucrium Wheat Fund"/>
        <s v="Teucrium Soybean Fund"/>
        <s v="First Trust Alternative Absolute Return Strategy ETF"/>
        <s v="iShares 20+ Year Treasury Bond ETF"/>
        <s v="iShares 10-20 Year Treasury Bond ETF"/>
        <s v="iShares 7-10 Year Treasury Bond ETF"/>
        <s v="IShares Euro Government Bond Capped 1.5y-10.5y UCITS ETF"/>
        <s v="iShares Global Government Bond USD Hedged Active ETF"/>
        <s v="iShares Core 1-5 Year USD Bond ETF"/>
        <s v="iShares France Govt Bond UCITS ETF EUR (Dist) (IFRB.L)"/>
        <s v="Amundi Italy BTP Government Bond 10Y UCITS ETF Acc"/>
        <s v="iShares Core UK Gilts UCITS ETF GBP"/>
        <s v="iShares USD Treasury Bond 0-1yr UCITS ETF"/>
        <s v="Ishares Treasury Bond 0-1 year UCITS ETF"/>
        <s v="iShares USD Treasury Bond 3-7yr"/>
        <s v="iShares $ Treasury Bond 3-7yr UCITS ETF USD"/>
        <s v="iShares 0-3 Month Treasury Bond ETF"/>
        <s v="Invesco Equal Weight 0-30 Years Treasury ETF"/>
        <m/>
        <s v="iShares J.P. Morgan USD Emerging Markets Bond ETF"/>
        <s v="SPDR Bloomberg International Treasury Bond ETF"/>
        <s v="Vanguard Short-Term Treasury ETF"/>
        <s v="Crude Oil "/>
        <s v="ProShares K-1 Free Crude Oil ETF"/>
        <s v="United States Oil Fund"/>
        <s v="ProShares Ultra Bloomberg Crude Oil"/>
        <s v="United States Natural Gas Fund LP"/>
        <s v="ProShares Ultra Bloomberg Natural Gas"/>
        <s v="KraneShares Global Carbon Strategy ETF"/>
        <s v="United States Gasoline Fund LP"/>
        <s v="Invesco DB Energy Fund"/>
        <s v="SPDR S&amp;P 500"/>
        <s v="Invesco QQQ Trust, Series 1"/>
        <s v="iShares MSCI World"/>
        <s v="iShares MSCI Emerging Markets ETF"/>
        <s v="iShares MSCI Japan ETF"/>
        <s v="Bitcoin Futures"/>
        <s v="ProShares Bitcoin ETF"/>
        <s v="Ethereum"/>
        <s v="iShares Bitcoin Trust ETF"/>
        <s v="iShares Asia 50 ETF"/>
        <s v="iShares MSCI Brazil ETF"/>
        <s v="iShares MSCI Mexico ETF"/>
        <s v="UBSETF MSCICHL CHFd"/>
        <s v="UBSETF MSCICHL CHFa"/>
        <s v="iShsII-Core EUR.STOXX 50"/>
        <s v="iSh.STOXX Europe 600 U.ETF"/>
        <s v="Global X DAX Germany"/>
        <s v="ISHLGECAP"/>
        <s v="SPDR 200"/>
        <s v="iShares Core DAX UCITS ETF (DE) EUR"/>
        <s v="iShares Latin America 40 ETF"/>
        <s v="iShares MSCI Emerging Markets ex China ETF"/>
        <s v="Amundi CAC 40 UCITS ETF Acc"/>
        <s v="iShares MSCI Chile ETF"/>
        <s v="Global X MSCI Argentina ETF"/>
        <s v="iShares MSCI Saudi Arabia ETF"/>
        <s v="iShares MSCI Poland ETF"/>
        <s v="iShares MSCI Turkey ETF"/>
        <s v="iShares MSCI India ETF"/>
        <s v="iShares MSCI China ETF"/>
        <s v="Vanguard FTSE Europe ETF"/>
        <s v="iShares MSCI Eurozone ETF"/>
        <s v="SPDR EURO STOXX 50 ETF"/>
        <s v="iShares MSCI United Kingdom ETF"/>
        <s v="iShares Europe ETF"/>
        <s v="iShares MSCI Germany ETF"/>
        <s v="iShares MSCI Switzerland ETF"/>
        <s v="iShares Core MSCI Europe ETF"/>
        <s v="iShares MSCI Italy ETF"/>
        <s v="iShares MSCI France ETF"/>
        <s v="iShares MSCI Sweden ETF"/>
        <s v="Global X MSCI Greece ETF"/>
        <s v="iShares MSCI Netherlands ETF"/>
        <s v="Franklin FTSE United Kingdom ETF"/>
        <s v="iShares MSCI Taiwan ETF"/>
        <s v="iShares MSCI South Korea ETF"/>
        <s v="iShares MSCI-Australia ETF"/>
        <s v="SPDR Gold Shares"/>
        <s v="Global X DAX Germany ETF"/>
        <s v="iShares Silver Trust"/>
        <s v="Gold"/>
        <s v="Invesco DB Base Metals Fund"/>
        <s v="United States Copper Index Fund"/>
      </sharedItems>
    </cacheField>
    <cacheField name="currency" numFmtId="0">
      <sharedItems containsBlank="1" count="7">
        <s v="USD"/>
        <s v="EUR"/>
        <s v="GBP"/>
        <s v="USD??"/>
        <s v="CHF"/>
        <s v="AUD"/>
        <m/>
      </sharedItems>
    </cacheField>
    <cacheField name="exchange" numFmtId="0">
      <sharedItems containsBlank="1"/>
    </cacheField>
    <cacheField name="start_date" numFmtId="14">
      <sharedItems containsNonDate="0" containsDate="1" containsString="0" containsBlank="1" minDate="2010-10-11T00:00:00" maxDate="2025-10-04T00:00:00" count="35">
        <d v="2010-10-11T00:00:00"/>
        <d v="2011-09-19T00:00:00"/>
        <m/>
        <d v="2016-05-23T00:00:00"/>
        <d v="2025-06-26T00:00:00"/>
        <d v="2012-10-24T00:00:00"/>
        <d v="2012-05-08T00:00:00"/>
        <d v="2024-02-19T00:00:00"/>
        <d v="2019-02-25T00:00:00"/>
        <d v="2025-10-03T00:00:00"/>
        <d v="2025-10-02T00:00:00"/>
        <d v="2025-01-27T00:00:00"/>
        <d v="2020-06-01T00:00:00"/>
        <d v="2014-11-11T00:00:00"/>
        <d v="2016-09-28T00:00:00"/>
        <d v="2020-07-31T00:00:00"/>
        <d v="2012-01-12T00:00:00"/>
        <d v="2017-12-18T00:00:00"/>
        <d v="2021-10-20T00:00:00"/>
        <d v="2021-02-05T00:00:00"/>
        <d v="2024-01-11T00:00:00"/>
        <d v="2013-11-28T00:00:00"/>
        <d v="2013-10-31T00:00:00"/>
        <d v="2014-10-23T00:00:00"/>
        <d v="2010-12-07T00:00:00"/>
        <d v="2017-07-26T00:00:00"/>
        <d v="2018-12-13T00:00:00"/>
        <d v="2011-03-03T00:00:00"/>
        <d v="2015-09-17T00:00:00"/>
        <d v="2012-02-03T00:00:00"/>
        <d v="2011-03-31T00:00:00"/>
        <d v="2014-06-12T00:00:00"/>
        <d v="2011-12-08T00:00:00"/>
        <d v="2017-11-06T00:00:00"/>
        <d v="2011-11-15T00:00:00"/>
      </sharedItems>
      <fieldGroup par="13"/>
    </cacheField>
    <cacheField name="selection1" numFmtId="0">
      <sharedItems containsBlank="1" count="2">
        <s v="X"/>
        <m/>
      </sharedItems>
    </cacheField>
    <cacheField name="selection2" numFmtId="0">
      <sharedItems containsBlank="1" count="2">
        <s v="X"/>
        <m/>
      </sharedItems>
    </cacheField>
    <cacheField name="selection3" numFmtId="0">
      <sharedItems containsBlank="1" count="2">
        <s v="X"/>
        <m/>
      </sharedItems>
    </cacheField>
    <cacheField name="Months (start_date)" numFmtId="0" databaseField="0">
      <fieldGroup base="7">
        <rangePr groupBy="months" startDate="2010-10-11T00:00:00" endDate="2025-10-04T00:00:00"/>
        <groupItems count="14">
          <s v="&lt;2010-10-11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025-10-04"/>
        </groupItems>
      </fieldGroup>
    </cacheField>
    <cacheField name="Quarters (start_date)" numFmtId="0" databaseField="0">
      <fieldGroup base="7">
        <rangePr groupBy="quarters" startDate="2010-10-11T00:00:00" endDate="2025-10-04T00:00:00"/>
        <groupItems count="6">
          <s v="&lt;2010-10-11"/>
          <s v="Qtr1"/>
          <s v="Qtr2"/>
          <s v="Qtr3"/>
          <s v="Qtr4"/>
          <s v="&gt;2025-10-04"/>
        </groupItems>
      </fieldGroup>
    </cacheField>
    <cacheField name="Years (start_date)" numFmtId="0" databaseField="0">
      <fieldGroup base="7">
        <rangePr groupBy="years" startDate="2010-10-11T00:00:00" endDate="2025-10-04T00:00:00"/>
        <groupItems count="18">
          <s v="&lt;2010-10-11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2025-10-0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s v="Agriculture"/>
    <x v="0"/>
    <x v="0"/>
    <x v="0"/>
    <s v="NYSEArca"/>
    <x v="0"/>
    <x v="0"/>
    <x v="0"/>
    <x v="0"/>
  </r>
  <r>
    <x v="0"/>
    <x v="0"/>
    <s v="Sugar"/>
    <x v="1"/>
    <x v="1"/>
    <x v="0"/>
    <s v="NYSEArca"/>
    <x v="1"/>
    <x v="0"/>
    <x v="0"/>
    <x v="0"/>
  </r>
  <r>
    <x v="0"/>
    <x v="0"/>
    <s v="Corn"/>
    <x v="2"/>
    <x v="2"/>
    <x v="0"/>
    <m/>
    <x v="2"/>
    <x v="1"/>
    <x v="1"/>
    <x v="0"/>
  </r>
  <r>
    <x v="0"/>
    <x v="0"/>
    <s v="Wheat"/>
    <x v="3"/>
    <x v="3"/>
    <x v="0"/>
    <m/>
    <x v="2"/>
    <x v="1"/>
    <x v="1"/>
    <x v="0"/>
  </r>
  <r>
    <x v="0"/>
    <x v="0"/>
    <s v="Soybeans"/>
    <x v="4"/>
    <x v="4"/>
    <x v="0"/>
    <m/>
    <x v="2"/>
    <x v="1"/>
    <x v="1"/>
    <x v="0"/>
  </r>
  <r>
    <x v="0"/>
    <x v="0"/>
    <s v="Agriculture"/>
    <x v="5"/>
    <x v="5"/>
    <x v="0"/>
    <m/>
    <x v="3"/>
    <x v="1"/>
    <x v="1"/>
    <x v="1"/>
  </r>
  <r>
    <x v="0"/>
    <x v="1"/>
    <s v="US Bonds 20y"/>
    <x v="6"/>
    <x v="6"/>
    <x v="0"/>
    <s v="NasdaqGM"/>
    <x v="0"/>
    <x v="1"/>
    <x v="1"/>
    <x v="0"/>
  </r>
  <r>
    <x v="0"/>
    <x v="1"/>
    <s v="US Bonds 10y"/>
    <x v="7"/>
    <x v="7"/>
    <x v="0"/>
    <s v="NYSEArca"/>
    <x v="0"/>
    <x v="0"/>
    <x v="0"/>
    <x v="0"/>
  </r>
  <r>
    <x v="0"/>
    <x v="1"/>
    <s v="US Bonds 7y"/>
    <x v="8"/>
    <x v="8"/>
    <x v="0"/>
    <s v="NasdaqGM"/>
    <x v="0"/>
    <x v="1"/>
    <x v="1"/>
    <x v="0"/>
  </r>
  <r>
    <x v="0"/>
    <x v="1"/>
    <s v="Euro Bonds"/>
    <x v="9"/>
    <x v="9"/>
    <x v="1"/>
    <s v="XETRA"/>
    <x v="0"/>
    <x v="0"/>
    <x v="1"/>
    <x v="1"/>
  </r>
  <r>
    <x v="0"/>
    <x v="1"/>
    <s v="German Bonds"/>
    <x v="10"/>
    <x v="10"/>
    <x v="0"/>
    <s v="NYSEArca"/>
    <x v="4"/>
    <x v="1"/>
    <x v="1"/>
    <x v="1"/>
  </r>
  <r>
    <x v="0"/>
    <x v="1"/>
    <s v="US Bonds 1y"/>
    <x v="11"/>
    <x v="11"/>
    <x v="0"/>
    <s v="NasdaqGM"/>
    <x v="5"/>
    <x v="1"/>
    <x v="0"/>
    <x v="0"/>
  </r>
  <r>
    <x v="0"/>
    <x v="1"/>
    <s v="French Bonds"/>
    <x v="12"/>
    <x v="12"/>
    <x v="1"/>
    <s v="LSE"/>
    <x v="6"/>
    <x v="0"/>
    <x v="1"/>
    <x v="1"/>
  </r>
  <r>
    <x v="0"/>
    <x v="1"/>
    <s v="Italian Bonds"/>
    <x v="13"/>
    <x v="13"/>
    <x v="1"/>
    <s v="Euronext Milan"/>
    <x v="7"/>
    <x v="1"/>
    <x v="1"/>
    <x v="1"/>
  </r>
  <r>
    <x v="0"/>
    <x v="1"/>
    <s v="UK Bonds"/>
    <x v="14"/>
    <x v="14"/>
    <x v="2"/>
    <s v="LSE"/>
    <x v="0"/>
    <x v="0"/>
    <x v="1"/>
    <x v="1"/>
  </r>
  <r>
    <x v="0"/>
    <x v="1"/>
    <s v="US Bonds 1y"/>
    <x v="15"/>
    <x v="15"/>
    <x v="1"/>
    <s v="Munich"/>
    <x v="8"/>
    <x v="1"/>
    <x v="1"/>
    <x v="1"/>
  </r>
  <r>
    <x v="0"/>
    <x v="1"/>
    <s v="US Bonds 0y"/>
    <x v="16"/>
    <x v="16"/>
    <x v="1"/>
    <s v="Munich"/>
    <x v="9"/>
    <x v="1"/>
    <x v="1"/>
    <x v="1"/>
  </r>
  <r>
    <x v="0"/>
    <x v="1"/>
    <s v="US Bonds 3y"/>
    <x v="17"/>
    <x v="17"/>
    <x v="3"/>
    <s v="CBOE UK"/>
    <x v="10"/>
    <x v="1"/>
    <x v="1"/>
    <x v="1"/>
  </r>
  <r>
    <x v="0"/>
    <x v="1"/>
    <s v="US Bonds 3y"/>
    <x v="18"/>
    <x v="18"/>
    <x v="3"/>
    <s v="XETRA"/>
    <x v="11"/>
    <x v="1"/>
    <x v="1"/>
    <x v="1"/>
  </r>
  <r>
    <x v="0"/>
    <x v="1"/>
    <s v="US Bonds 0y"/>
    <x v="19"/>
    <x v="19"/>
    <x v="0"/>
    <s v="NYSEArca"/>
    <x v="12"/>
    <x v="1"/>
    <x v="1"/>
    <x v="1"/>
  </r>
  <r>
    <x v="0"/>
    <x v="1"/>
    <s v="US Bonds"/>
    <x v="20"/>
    <x v="20"/>
    <x v="0"/>
    <s v="NasdaqGM"/>
    <x v="0"/>
    <x v="1"/>
    <x v="1"/>
    <x v="0"/>
  </r>
  <r>
    <x v="0"/>
    <x v="1"/>
    <s v="Chinese Bonds"/>
    <x v="21"/>
    <x v="21"/>
    <x v="0"/>
    <m/>
    <x v="13"/>
    <x v="1"/>
    <x v="0"/>
    <x v="1"/>
  </r>
  <r>
    <x v="0"/>
    <x v="1"/>
    <s v="Emerging market  Bonds"/>
    <x v="22"/>
    <x v="22"/>
    <x v="0"/>
    <s v="NasdaqGM"/>
    <x v="0"/>
    <x v="1"/>
    <x v="0"/>
    <x v="0"/>
  </r>
  <r>
    <x v="0"/>
    <x v="1"/>
    <s v="International Bonds"/>
    <x v="23"/>
    <x v="23"/>
    <x v="0"/>
    <m/>
    <x v="0"/>
    <x v="1"/>
    <x v="0"/>
    <x v="0"/>
  </r>
  <r>
    <x v="0"/>
    <x v="1"/>
    <s v="US Bonds short term"/>
    <x v="24"/>
    <x v="24"/>
    <x v="0"/>
    <m/>
    <x v="0"/>
    <x v="1"/>
    <x v="0"/>
    <x v="0"/>
  </r>
  <r>
    <x v="1"/>
    <x v="2"/>
    <s v="Crude Oil"/>
    <x v="25"/>
    <x v="25"/>
    <x v="0"/>
    <s v="NY Merc"/>
    <x v="0"/>
    <x v="1"/>
    <x v="1"/>
    <x v="1"/>
  </r>
  <r>
    <x v="0"/>
    <x v="2"/>
    <s v="Crude Oil"/>
    <x v="26"/>
    <x v="26"/>
    <x v="0"/>
    <s v="CBOE US"/>
    <x v="14"/>
    <x v="0"/>
    <x v="1"/>
    <x v="1"/>
  </r>
  <r>
    <x v="0"/>
    <x v="2"/>
    <s v="Crude Oil"/>
    <x v="27"/>
    <x v="27"/>
    <x v="0"/>
    <m/>
    <x v="0"/>
    <x v="1"/>
    <x v="0"/>
    <x v="0"/>
  </r>
  <r>
    <x v="0"/>
    <x v="2"/>
    <s v="Crude Oil"/>
    <x v="28"/>
    <x v="28"/>
    <x v="0"/>
    <m/>
    <x v="0"/>
    <x v="1"/>
    <x v="1"/>
    <x v="0"/>
  </r>
  <r>
    <x v="0"/>
    <x v="2"/>
    <s v="Natural Gas"/>
    <x v="29"/>
    <x v="29"/>
    <x v="0"/>
    <m/>
    <x v="2"/>
    <x v="1"/>
    <x v="1"/>
    <x v="0"/>
  </r>
  <r>
    <x v="0"/>
    <x v="2"/>
    <s v="Natural Gas"/>
    <x v="30"/>
    <x v="30"/>
    <x v="0"/>
    <m/>
    <x v="2"/>
    <x v="1"/>
    <x v="1"/>
    <x v="0"/>
  </r>
  <r>
    <x v="0"/>
    <x v="2"/>
    <s v="Carbon"/>
    <x v="31"/>
    <x v="31"/>
    <x v="0"/>
    <m/>
    <x v="15"/>
    <x v="1"/>
    <x v="1"/>
    <x v="1"/>
  </r>
  <r>
    <x v="0"/>
    <x v="2"/>
    <s v="Gasoline"/>
    <x v="32"/>
    <x v="32"/>
    <x v="0"/>
    <m/>
    <x v="2"/>
    <x v="1"/>
    <x v="1"/>
    <x v="0"/>
  </r>
  <r>
    <x v="0"/>
    <x v="2"/>
    <s v="Energy"/>
    <x v="33"/>
    <x v="33"/>
    <x v="0"/>
    <m/>
    <x v="2"/>
    <x v="1"/>
    <x v="1"/>
    <x v="0"/>
  </r>
  <r>
    <x v="0"/>
    <x v="3"/>
    <s v="SP500"/>
    <x v="34"/>
    <x v="34"/>
    <x v="0"/>
    <s v="NYSEArca"/>
    <x v="0"/>
    <x v="0"/>
    <x v="0"/>
    <x v="0"/>
  </r>
  <r>
    <x v="0"/>
    <x v="3"/>
    <s v="NASDAQ100"/>
    <x v="35"/>
    <x v="35"/>
    <x v="0"/>
    <s v="NasdaqGM"/>
    <x v="0"/>
    <x v="1"/>
    <x v="1"/>
    <x v="0"/>
  </r>
  <r>
    <x v="0"/>
    <x v="3"/>
    <s v="World"/>
    <x v="36"/>
    <x v="36"/>
    <x v="0"/>
    <s v="NYSEArca"/>
    <x v="16"/>
    <x v="1"/>
    <x v="1"/>
    <x v="0"/>
  </r>
  <r>
    <x v="0"/>
    <x v="3"/>
    <s v="Emerging"/>
    <x v="37"/>
    <x v="37"/>
    <x v="0"/>
    <s v="NYSEArca"/>
    <x v="0"/>
    <x v="1"/>
    <x v="1"/>
    <x v="0"/>
  </r>
  <r>
    <x v="0"/>
    <x v="3"/>
    <s v="Japan"/>
    <x v="38"/>
    <x v="38"/>
    <x v="0"/>
    <s v="NYSEArca"/>
    <x v="0"/>
    <x v="0"/>
    <x v="1"/>
    <x v="0"/>
  </r>
  <r>
    <x v="1"/>
    <x v="4"/>
    <s v="Bitcoin"/>
    <x v="39"/>
    <x v="39"/>
    <x v="0"/>
    <s v="CME"/>
    <x v="17"/>
    <x v="1"/>
    <x v="1"/>
    <x v="1"/>
  </r>
  <r>
    <x v="0"/>
    <x v="4"/>
    <s v="Bitcoin"/>
    <x v="40"/>
    <x v="40"/>
    <x v="0"/>
    <s v="NYSEArca"/>
    <x v="18"/>
    <x v="1"/>
    <x v="1"/>
    <x v="1"/>
  </r>
  <r>
    <x v="1"/>
    <x v="4"/>
    <s v="Ethereum"/>
    <x v="41"/>
    <x v="41"/>
    <x v="0"/>
    <s v="CME"/>
    <x v="19"/>
    <x v="1"/>
    <x v="1"/>
    <x v="1"/>
  </r>
  <r>
    <x v="0"/>
    <x v="4"/>
    <s v="Bitcoin"/>
    <x v="42"/>
    <x v="42"/>
    <x v="0"/>
    <s v="NasdaqGM"/>
    <x v="20"/>
    <x v="0"/>
    <x v="1"/>
    <x v="1"/>
  </r>
  <r>
    <x v="0"/>
    <x v="3"/>
    <s v="Asia"/>
    <x v="43"/>
    <x v="43"/>
    <x v="0"/>
    <s v="NasdaqGM"/>
    <x v="0"/>
    <x v="1"/>
    <x v="1"/>
    <x v="0"/>
  </r>
  <r>
    <x v="0"/>
    <x v="3"/>
    <s v="Brasil"/>
    <x v="44"/>
    <x v="44"/>
    <x v="0"/>
    <s v="NYSEArca"/>
    <x v="0"/>
    <x v="1"/>
    <x v="1"/>
    <x v="0"/>
  </r>
  <r>
    <x v="0"/>
    <x v="3"/>
    <s v="Mexico"/>
    <x v="45"/>
    <x v="45"/>
    <x v="0"/>
    <s v="NYSEArca"/>
    <x v="0"/>
    <x v="1"/>
    <x v="1"/>
    <x v="0"/>
  </r>
  <r>
    <x v="0"/>
    <x v="3"/>
    <s v="SWI 20-35 (dis)"/>
    <x v="46"/>
    <x v="46"/>
    <x v="4"/>
    <s v="SWI"/>
    <x v="21"/>
    <x v="1"/>
    <x v="1"/>
    <x v="1"/>
  </r>
  <r>
    <x v="0"/>
    <x v="3"/>
    <s v="SWI 20-35 (acc)"/>
    <x v="47"/>
    <x v="47"/>
    <x v="4"/>
    <s v="SWI"/>
    <x v="22"/>
    <x v="0"/>
    <x v="1"/>
    <x v="1"/>
  </r>
  <r>
    <x v="0"/>
    <x v="3"/>
    <s v="EUR.50"/>
    <x v="48"/>
    <x v="48"/>
    <x v="1"/>
    <s v="XETRA"/>
    <x v="0"/>
    <x v="0"/>
    <x v="1"/>
    <x v="1"/>
  </r>
  <r>
    <x v="0"/>
    <x v="3"/>
    <s v="EUR.600"/>
    <x v="49"/>
    <x v="49"/>
    <x v="1"/>
    <s v="XETRA"/>
    <x v="0"/>
    <x v="1"/>
    <x v="1"/>
    <x v="1"/>
  </r>
  <r>
    <x v="0"/>
    <x v="3"/>
    <s v="DAX"/>
    <x v="50"/>
    <x v="50"/>
    <x v="0"/>
    <s v="NasdaqGM"/>
    <x v="23"/>
    <x v="0"/>
    <x v="1"/>
    <x v="1"/>
  </r>
  <r>
    <x v="0"/>
    <x v="3"/>
    <s v="ASX 20"/>
    <x v="51"/>
    <x v="51"/>
    <x v="5"/>
    <s v="ASX"/>
    <x v="24"/>
    <x v="0"/>
    <x v="1"/>
    <x v="1"/>
  </r>
  <r>
    <x v="0"/>
    <x v="3"/>
    <s v="ASX 200"/>
    <x v="52"/>
    <x v="52"/>
    <x v="5"/>
    <s v="ASX"/>
    <x v="0"/>
    <x v="1"/>
    <x v="1"/>
    <x v="1"/>
  </r>
  <r>
    <x v="0"/>
    <x v="3"/>
    <s v="DAX"/>
    <x v="53"/>
    <x v="53"/>
    <x v="1"/>
    <s v="XETRA"/>
    <x v="0"/>
    <x v="1"/>
    <x v="1"/>
    <x v="1"/>
  </r>
  <r>
    <x v="0"/>
    <x v="3"/>
    <s v="Latin America"/>
    <x v="54"/>
    <x v="54"/>
    <x v="0"/>
    <s v="NYSEArca"/>
    <x v="0"/>
    <x v="1"/>
    <x v="0"/>
    <x v="0"/>
  </r>
  <r>
    <x v="0"/>
    <x v="3"/>
    <s v="Emerging"/>
    <x v="55"/>
    <x v="55"/>
    <x v="0"/>
    <s v="NasdaqGM"/>
    <x v="25"/>
    <x v="0"/>
    <x v="1"/>
    <x v="1"/>
  </r>
  <r>
    <x v="0"/>
    <x v="3"/>
    <s v="CAC 40"/>
    <x v="56"/>
    <x v="56"/>
    <x v="1"/>
    <s v="Euronext Paris"/>
    <x v="26"/>
    <x v="1"/>
    <x v="1"/>
    <x v="1"/>
  </r>
  <r>
    <x v="0"/>
    <x v="3"/>
    <s v="Chile"/>
    <x v="57"/>
    <x v="57"/>
    <x v="0"/>
    <s v="CBOE US"/>
    <x v="0"/>
    <x v="1"/>
    <x v="1"/>
    <x v="0"/>
  </r>
  <r>
    <x v="0"/>
    <x v="3"/>
    <s v="Argentina"/>
    <x v="58"/>
    <x v="58"/>
    <x v="0"/>
    <s v="NYSEArca"/>
    <x v="27"/>
    <x v="1"/>
    <x v="1"/>
    <x v="0"/>
  </r>
  <r>
    <x v="0"/>
    <x v="3"/>
    <s v="Saudi Arabia"/>
    <x v="59"/>
    <x v="59"/>
    <x v="0"/>
    <s v="NYSEArca"/>
    <x v="28"/>
    <x v="1"/>
    <x v="1"/>
    <x v="1"/>
  </r>
  <r>
    <x v="0"/>
    <x v="3"/>
    <s v="Poland"/>
    <x v="60"/>
    <x v="60"/>
    <x v="0"/>
    <s v="NYSEArca"/>
    <x v="0"/>
    <x v="1"/>
    <x v="1"/>
    <x v="0"/>
  </r>
  <r>
    <x v="0"/>
    <x v="3"/>
    <s v="Turkey"/>
    <x v="61"/>
    <x v="61"/>
    <x v="0"/>
    <s v="NasdaqGM"/>
    <x v="0"/>
    <x v="1"/>
    <x v="1"/>
    <x v="0"/>
  </r>
  <r>
    <x v="0"/>
    <x v="3"/>
    <s v="India"/>
    <x v="62"/>
    <x v="62"/>
    <x v="0"/>
    <s v="CBOE US"/>
    <x v="29"/>
    <x v="1"/>
    <x v="0"/>
    <x v="0"/>
  </r>
  <r>
    <x v="0"/>
    <x v="3"/>
    <s v="China"/>
    <x v="63"/>
    <x v="63"/>
    <x v="0"/>
    <s v="NasdaqGM"/>
    <x v="30"/>
    <x v="1"/>
    <x v="0"/>
    <x v="0"/>
  </r>
  <r>
    <x v="0"/>
    <x v="3"/>
    <s v="Europe"/>
    <x v="64"/>
    <x v="64"/>
    <x v="0"/>
    <s v="NYSEArca"/>
    <x v="0"/>
    <x v="1"/>
    <x v="1"/>
    <x v="0"/>
  </r>
  <r>
    <x v="0"/>
    <x v="3"/>
    <s v="Eurozone"/>
    <x v="65"/>
    <x v="65"/>
    <x v="0"/>
    <m/>
    <x v="0"/>
    <x v="1"/>
    <x v="1"/>
    <x v="0"/>
  </r>
  <r>
    <x v="0"/>
    <x v="3"/>
    <s v="Euro 50"/>
    <x v="66"/>
    <x v="66"/>
    <x v="0"/>
    <m/>
    <x v="0"/>
    <x v="1"/>
    <x v="1"/>
    <x v="0"/>
  </r>
  <r>
    <x v="0"/>
    <x v="3"/>
    <s v="UK"/>
    <x v="67"/>
    <x v="67"/>
    <x v="0"/>
    <m/>
    <x v="0"/>
    <x v="1"/>
    <x v="1"/>
    <x v="0"/>
  </r>
  <r>
    <x v="0"/>
    <x v="3"/>
    <s v="Europe"/>
    <x v="68"/>
    <x v="68"/>
    <x v="0"/>
    <m/>
    <x v="0"/>
    <x v="1"/>
    <x v="0"/>
    <x v="0"/>
  </r>
  <r>
    <x v="0"/>
    <x v="3"/>
    <s v="Germany"/>
    <x v="69"/>
    <x v="69"/>
    <x v="0"/>
    <m/>
    <x v="0"/>
    <x v="1"/>
    <x v="1"/>
    <x v="0"/>
  </r>
  <r>
    <x v="0"/>
    <x v="3"/>
    <s v="Switzerland"/>
    <x v="70"/>
    <x v="70"/>
    <x v="0"/>
    <m/>
    <x v="0"/>
    <x v="1"/>
    <x v="1"/>
    <x v="0"/>
  </r>
  <r>
    <x v="0"/>
    <x v="3"/>
    <s v="Europe"/>
    <x v="71"/>
    <x v="71"/>
    <x v="0"/>
    <m/>
    <x v="31"/>
    <x v="1"/>
    <x v="1"/>
    <x v="1"/>
  </r>
  <r>
    <x v="0"/>
    <x v="3"/>
    <s v="Italy"/>
    <x v="72"/>
    <x v="72"/>
    <x v="0"/>
    <m/>
    <x v="0"/>
    <x v="1"/>
    <x v="1"/>
    <x v="0"/>
  </r>
  <r>
    <x v="0"/>
    <x v="3"/>
    <s v="France"/>
    <x v="73"/>
    <x v="73"/>
    <x v="0"/>
    <m/>
    <x v="0"/>
    <x v="1"/>
    <x v="1"/>
    <x v="0"/>
  </r>
  <r>
    <x v="0"/>
    <x v="3"/>
    <s v="Sweden"/>
    <x v="74"/>
    <x v="74"/>
    <x v="0"/>
    <m/>
    <x v="0"/>
    <x v="1"/>
    <x v="1"/>
    <x v="0"/>
  </r>
  <r>
    <x v="0"/>
    <x v="3"/>
    <s v="Greece"/>
    <x v="75"/>
    <x v="75"/>
    <x v="0"/>
    <m/>
    <x v="32"/>
    <x v="1"/>
    <x v="1"/>
    <x v="0"/>
  </r>
  <r>
    <x v="0"/>
    <x v="3"/>
    <s v="Netherlands"/>
    <x v="76"/>
    <x v="76"/>
    <x v="0"/>
    <m/>
    <x v="0"/>
    <x v="1"/>
    <x v="1"/>
    <x v="0"/>
  </r>
  <r>
    <x v="0"/>
    <x v="3"/>
    <s v="UK"/>
    <x v="77"/>
    <x v="77"/>
    <x v="0"/>
    <m/>
    <x v="33"/>
    <x v="1"/>
    <x v="1"/>
    <x v="1"/>
  </r>
  <r>
    <x v="0"/>
    <x v="3"/>
    <s v="Japan"/>
    <x v="38"/>
    <x v="38"/>
    <x v="0"/>
    <m/>
    <x v="0"/>
    <x v="1"/>
    <x v="0"/>
    <x v="0"/>
  </r>
  <r>
    <x v="0"/>
    <x v="3"/>
    <s v="Taiwan"/>
    <x v="78"/>
    <x v="78"/>
    <x v="0"/>
    <m/>
    <x v="0"/>
    <x v="1"/>
    <x v="1"/>
    <x v="0"/>
  </r>
  <r>
    <x v="0"/>
    <x v="3"/>
    <s v="Korea"/>
    <x v="79"/>
    <x v="79"/>
    <x v="0"/>
    <m/>
    <x v="0"/>
    <x v="1"/>
    <x v="1"/>
    <x v="0"/>
  </r>
  <r>
    <x v="0"/>
    <x v="3"/>
    <s v="Australia"/>
    <x v="80"/>
    <x v="80"/>
    <x v="0"/>
    <m/>
    <x v="0"/>
    <x v="1"/>
    <x v="0"/>
    <x v="0"/>
  </r>
  <r>
    <x v="0"/>
    <x v="5"/>
    <s v="Gold"/>
    <x v="81"/>
    <x v="81"/>
    <x v="0"/>
    <s v="NYSEArca"/>
    <x v="0"/>
    <x v="0"/>
    <x v="0"/>
    <x v="0"/>
  </r>
  <r>
    <x v="0"/>
    <x v="3"/>
    <s v="Germany"/>
    <x v="50"/>
    <x v="82"/>
    <x v="0"/>
    <m/>
    <x v="23"/>
    <x v="1"/>
    <x v="1"/>
    <x v="1"/>
  </r>
  <r>
    <x v="0"/>
    <x v="5"/>
    <s v="Silver"/>
    <x v="82"/>
    <x v="83"/>
    <x v="0"/>
    <s v="NYSEArca"/>
    <x v="0"/>
    <x v="0"/>
    <x v="0"/>
    <x v="0"/>
  </r>
  <r>
    <x v="1"/>
    <x v="5"/>
    <s v="Gold"/>
    <x v="83"/>
    <x v="84"/>
    <x v="0"/>
    <s v="COMEX"/>
    <x v="0"/>
    <x v="1"/>
    <x v="1"/>
    <x v="0"/>
  </r>
  <r>
    <x v="0"/>
    <x v="5"/>
    <s v="Metals"/>
    <x v="84"/>
    <x v="85"/>
    <x v="0"/>
    <s v="NYSEArca"/>
    <x v="0"/>
    <x v="0"/>
    <x v="0"/>
    <x v="0"/>
  </r>
  <r>
    <x v="0"/>
    <x v="5"/>
    <s v="Copper"/>
    <x v="85"/>
    <x v="86"/>
    <x v="0"/>
    <s v="NYSEArca"/>
    <x v="34"/>
    <x v="0"/>
    <x v="0"/>
    <x v="0"/>
  </r>
  <r>
    <x v="2"/>
    <x v="6"/>
    <m/>
    <x v="86"/>
    <x v="21"/>
    <x v="6"/>
    <m/>
    <x v="2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F3A54-E6FC-4DC2-B1DD-4F57AFEDE8C6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7" firstHeaderRow="1" firstDataRow="1" firstDataCol="1" rowPageCount="9" colPageCount="1"/>
  <pivotFields count="14">
    <pivotField axis="axisPage" showAll="0">
      <items count="4">
        <item x="0"/>
        <item x="1"/>
        <item x="2"/>
        <item t="default"/>
      </items>
    </pivotField>
    <pivotField axis="axisRow" showAll="0">
      <items count="8">
        <item sd="0" x="1"/>
        <item sd="0" x="4"/>
        <item sd="0" x="6"/>
        <item sd="0" x="3"/>
        <item sd="0" x="0"/>
        <item sd="0" x="2"/>
        <item sd="0" x="5"/>
        <item t="default"/>
      </items>
    </pivotField>
    <pivotField showAll="0"/>
    <pivotField axis="axisRow" dataField="1" showAll="0">
      <items count="88">
        <item x="43"/>
        <item x="58"/>
        <item x="40"/>
        <item x="39"/>
        <item x="13"/>
        <item x="56"/>
        <item x="1"/>
        <item x="17"/>
        <item x="25"/>
        <item x="85"/>
        <item x="50"/>
        <item x="0"/>
        <item x="84"/>
        <item x="57"/>
        <item x="37"/>
        <item x="22"/>
        <item x="55"/>
        <item x="60"/>
        <item x="41"/>
        <item x="48"/>
        <item x="80"/>
        <item x="74"/>
        <item x="69"/>
        <item x="72"/>
        <item x="38"/>
        <item x="70"/>
        <item x="76"/>
        <item x="73"/>
        <item x="78"/>
        <item x="67"/>
        <item x="45"/>
        <item x="79"/>
        <item x="44"/>
        <item x="9"/>
        <item x="53"/>
        <item x="49"/>
        <item x="65"/>
        <item x="66"/>
        <item x="77"/>
        <item x="83"/>
        <item x="10"/>
        <item x="81"/>
        <item x="20"/>
        <item x="75"/>
        <item x="15"/>
        <item x="16"/>
        <item x="42"/>
        <item x="8"/>
        <item x="71"/>
        <item x="68"/>
        <item x="12"/>
        <item x="14"/>
        <item x="51"/>
        <item x="54"/>
        <item x="62"/>
        <item x="11"/>
        <item x="59"/>
        <item x="63"/>
        <item x="26"/>
        <item x="35"/>
        <item x="19"/>
        <item x="82"/>
        <item x="34"/>
        <item x="52"/>
        <item x="46"/>
        <item x="47"/>
        <item x="18"/>
        <item x="7"/>
        <item x="6"/>
        <item x="61"/>
        <item x="36"/>
        <item x="64"/>
        <item x="86"/>
        <item x="27"/>
        <item x="28"/>
        <item x="23"/>
        <item x="21"/>
        <item x="24"/>
        <item x="2"/>
        <item x="3"/>
        <item x="4"/>
        <item x="5"/>
        <item x="29"/>
        <item x="30"/>
        <item x="31"/>
        <item x="32"/>
        <item x="33"/>
        <item t="default"/>
      </items>
    </pivotField>
    <pivotField axis="axisPage" showAll="0">
      <items count="88">
        <item x="56"/>
        <item x="13"/>
        <item x="39"/>
        <item x="25"/>
        <item x="41"/>
        <item x="77"/>
        <item x="50"/>
        <item x="82"/>
        <item x="58"/>
        <item x="75"/>
        <item x="84"/>
        <item x="0"/>
        <item x="85"/>
        <item x="20"/>
        <item x="35"/>
        <item x="49"/>
        <item x="18"/>
        <item x="19"/>
        <item x="7"/>
        <item x="6"/>
        <item x="8"/>
        <item x="43"/>
        <item x="42"/>
        <item x="11"/>
        <item x="53"/>
        <item x="71"/>
        <item x="14"/>
        <item x="9"/>
        <item x="68"/>
        <item x="12"/>
        <item x="10"/>
        <item x="22"/>
        <item x="54"/>
        <item x="44"/>
        <item x="57"/>
        <item x="63"/>
        <item x="37"/>
        <item x="55"/>
        <item x="65"/>
        <item x="73"/>
        <item x="69"/>
        <item x="62"/>
        <item x="72"/>
        <item x="38"/>
        <item x="45"/>
        <item x="76"/>
        <item x="60"/>
        <item x="59"/>
        <item x="79"/>
        <item x="74"/>
        <item x="70"/>
        <item x="78"/>
        <item x="61"/>
        <item x="67"/>
        <item x="36"/>
        <item x="80"/>
        <item x="83"/>
        <item x="16"/>
        <item x="15"/>
        <item x="17"/>
        <item x="51"/>
        <item x="48"/>
        <item x="40"/>
        <item x="26"/>
        <item x="52"/>
        <item x="66"/>
        <item x="34"/>
        <item x="81"/>
        <item x="1"/>
        <item x="47"/>
        <item x="46"/>
        <item x="86"/>
        <item x="64"/>
        <item x="21"/>
        <item x="27"/>
        <item x="28"/>
        <item x="23"/>
        <item x="24"/>
        <item x="2"/>
        <item x="3"/>
        <item x="4"/>
        <item x="5"/>
        <item x="29"/>
        <item x="30"/>
        <item x="31"/>
        <item x="32"/>
        <item x="33"/>
        <item t="default"/>
      </items>
    </pivotField>
    <pivotField axis="axisPage" showAll="0">
      <items count="8">
        <item x="5"/>
        <item x="4"/>
        <item x="1"/>
        <item x="2"/>
        <item x="0"/>
        <item x="3"/>
        <item x="6"/>
        <item t="default"/>
      </items>
    </pivotField>
    <pivotField showAll="0"/>
    <pivotField showAll="0">
      <items count="36">
        <item x="0"/>
        <item x="24"/>
        <item x="27"/>
        <item x="30"/>
        <item x="1"/>
        <item x="34"/>
        <item x="32"/>
        <item x="16"/>
        <item x="29"/>
        <item x="6"/>
        <item x="5"/>
        <item x="22"/>
        <item x="21"/>
        <item x="31"/>
        <item x="23"/>
        <item x="13"/>
        <item x="28"/>
        <item x="14"/>
        <item x="25"/>
        <item x="33"/>
        <item x="17"/>
        <item x="26"/>
        <item x="8"/>
        <item x="12"/>
        <item x="19"/>
        <item x="18"/>
        <item x="20"/>
        <item x="7"/>
        <item x="11"/>
        <item x="4"/>
        <item x="10"/>
        <item x="9"/>
        <item x="2"/>
        <item x="3"/>
        <item x="15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19">
        <item sd="0" x="0"/>
        <item sd="0" x="1"/>
        <item sd="0" x="2"/>
        <item sd="0" x="3"/>
        <item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sd="0" x="17"/>
        <item t="default"/>
      </items>
    </pivotField>
  </pivotFields>
  <rowFields count="2">
    <field x="1"/>
    <field x="3"/>
  </rowFields>
  <rowItems count="6">
    <i>
      <x/>
    </i>
    <i>
      <x v="3"/>
    </i>
    <i>
      <x v="4"/>
    </i>
    <i>
      <x v="5"/>
    </i>
    <i>
      <x v="6"/>
    </i>
    <i t="grand">
      <x/>
    </i>
  </rowItems>
  <colItems count="1">
    <i/>
  </colItems>
  <pageFields count="9">
    <pageField fld="8" hier="-1"/>
    <pageField fld="9" hier="-1"/>
    <pageField fld="4" hier="-1"/>
    <pageField fld="13" hier="-1"/>
    <pageField fld="12" hier="-1"/>
    <pageField fld="11" hier="-1"/>
    <pageField fld="10" hier="-1"/>
    <pageField fld="0" item="0" hier="-1"/>
    <pageField fld="5" item="4" hier="-1"/>
  </pageFields>
  <dataFields count="1">
    <dataField name="Count of ticker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tfdb.com/etf/EWG/" TargetMode="External"/><Relationship Id="rId21" Type="http://schemas.openxmlformats.org/officeDocument/2006/relationships/hyperlink" Target="https://etfdb.com/etf/EWU/" TargetMode="External"/><Relationship Id="rId42" Type="http://schemas.openxmlformats.org/officeDocument/2006/relationships/hyperlink" Target="https://etfdb.com/etf/DAX/" TargetMode="External"/><Relationship Id="rId47" Type="http://schemas.openxmlformats.org/officeDocument/2006/relationships/hyperlink" Target="https://etfdb.com/etf/EWY/" TargetMode="External"/><Relationship Id="rId63" Type="http://schemas.openxmlformats.org/officeDocument/2006/relationships/hyperlink" Target="https://etfdb.com/etf/FAAR/" TargetMode="External"/><Relationship Id="rId68" Type="http://schemas.openxmlformats.org/officeDocument/2006/relationships/hyperlink" Target="https://etfdb.com/etf/KRBN/" TargetMode="External"/><Relationship Id="rId2" Type="http://schemas.openxmlformats.org/officeDocument/2006/relationships/hyperlink" Target="https://etfdb.com/etf/CANE/" TargetMode="External"/><Relationship Id="rId16" Type="http://schemas.openxmlformats.org/officeDocument/2006/relationships/hyperlink" Target="https://etfdb.com/etf/EZU/" TargetMode="External"/><Relationship Id="rId29" Type="http://schemas.openxmlformats.org/officeDocument/2006/relationships/hyperlink" Target="https://etfdb.com/etf/FLGB/" TargetMode="External"/><Relationship Id="rId11" Type="http://schemas.openxmlformats.org/officeDocument/2006/relationships/hyperlink" Target="https://etfdb.com/etf/TUR/" TargetMode="External"/><Relationship Id="rId24" Type="http://schemas.openxmlformats.org/officeDocument/2006/relationships/hyperlink" Target="https://etfdb.com/etf/IEV/" TargetMode="External"/><Relationship Id="rId32" Type="http://schemas.openxmlformats.org/officeDocument/2006/relationships/hyperlink" Target="https://etfdb.com/etf/EWI/" TargetMode="External"/><Relationship Id="rId37" Type="http://schemas.openxmlformats.org/officeDocument/2006/relationships/hyperlink" Target="https://etfdb.com/etf/GREK/" TargetMode="External"/><Relationship Id="rId40" Type="http://schemas.openxmlformats.org/officeDocument/2006/relationships/hyperlink" Target="https://etfdb.com/etf/EWN/" TargetMode="External"/><Relationship Id="rId45" Type="http://schemas.openxmlformats.org/officeDocument/2006/relationships/hyperlink" Target="https://etfdb.com/etf/EWT/" TargetMode="External"/><Relationship Id="rId53" Type="http://schemas.openxmlformats.org/officeDocument/2006/relationships/hyperlink" Target="https://etfdb.com/etf/EMB/" TargetMode="External"/><Relationship Id="rId58" Type="http://schemas.openxmlformats.org/officeDocument/2006/relationships/hyperlink" Target="https://etfdb.com/etf/WEAT/" TargetMode="External"/><Relationship Id="rId66" Type="http://schemas.openxmlformats.org/officeDocument/2006/relationships/hyperlink" Target="https://etfdb.com/etf/BOIL/" TargetMode="External"/><Relationship Id="rId5" Type="http://schemas.openxmlformats.org/officeDocument/2006/relationships/hyperlink" Target="https://etfdb.com/etf/EWZ/" TargetMode="External"/><Relationship Id="rId61" Type="http://schemas.openxmlformats.org/officeDocument/2006/relationships/hyperlink" Target="https://etfdb.com/etf/WEAT/" TargetMode="External"/><Relationship Id="rId19" Type="http://schemas.openxmlformats.org/officeDocument/2006/relationships/hyperlink" Target="https://etfdb.com/etf/FEZ/" TargetMode="External"/><Relationship Id="rId14" Type="http://schemas.openxmlformats.org/officeDocument/2006/relationships/hyperlink" Target="https://etfdb.com/etf/VGK/" TargetMode="External"/><Relationship Id="rId22" Type="http://schemas.openxmlformats.org/officeDocument/2006/relationships/hyperlink" Target="https://etfdb.com/etf/EWU/" TargetMode="External"/><Relationship Id="rId27" Type="http://schemas.openxmlformats.org/officeDocument/2006/relationships/hyperlink" Target="https://etfdb.com/etf/EWL/" TargetMode="External"/><Relationship Id="rId30" Type="http://schemas.openxmlformats.org/officeDocument/2006/relationships/hyperlink" Target="https://etfdb.com/etf/FLGB/" TargetMode="External"/><Relationship Id="rId35" Type="http://schemas.openxmlformats.org/officeDocument/2006/relationships/hyperlink" Target="https://etfdb.com/etf/EWD/" TargetMode="External"/><Relationship Id="rId43" Type="http://schemas.openxmlformats.org/officeDocument/2006/relationships/hyperlink" Target="https://etfdb.com/etf/EWJ/" TargetMode="External"/><Relationship Id="rId48" Type="http://schemas.openxmlformats.org/officeDocument/2006/relationships/hyperlink" Target="https://etfdb.com/etf/EWY/" TargetMode="External"/><Relationship Id="rId56" Type="http://schemas.openxmlformats.org/officeDocument/2006/relationships/hyperlink" Target="https://etfdb.com/etf/BWX/" TargetMode="External"/><Relationship Id="rId64" Type="http://schemas.openxmlformats.org/officeDocument/2006/relationships/hyperlink" Target="https://etfdb.com/etf/UNG/" TargetMode="External"/><Relationship Id="rId69" Type="http://schemas.openxmlformats.org/officeDocument/2006/relationships/hyperlink" Target="https://etfdb.com/etf/KRBN/" TargetMode="External"/><Relationship Id="rId8" Type="http://schemas.openxmlformats.org/officeDocument/2006/relationships/hyperlink" Target="https://etfdb.com/etf/ECH/" TargetMode="External"/><Relationship Id="rId51" Type="http://schemas.openxmlformats.org/officeDocument/2006/relationships/hyperlink" Target="https://etfdb.com/etf/GGOV/" TargetMode="External"/><Relationship Id="rId72" Type="http://schemas.openxmlformats.org/officeDocument/2006/relationships/hyperlink" Target="https://etfdb.com/etf/DBE/" TargetMode="External"/><Relationship Id="rId3" Type="http://schemas.openxmlformats.org/officeDocument/2006/relationships/hyperlink" Target="https://etfdb.com/etf/AIA/" TargetMode="External"/><Relationship Id="rId12" Type="http://schemas.openxmlformats.org/officeDocument/2006/relationships/hyperlink" Target="https://etfdb.com/etf/MCHI/" TargetMode="External"/><Relationship Id="rId17" Type="http://schemas.openxmlformats.org/officeDocument/2006/relationships/hyperlink" Target="https://etfdb.com/etf/IEUR/" TargetMode="External"/><Relationship Id="rId25" Type="http://schemas.openxmlformats.org/officeDocument/2006/relationships/hyperlink" Target="https://etfdb.com/etf/EWG/" TargetMode="External"/><Relationship Id="rId33" Type="http://schemas.openxmlformats.org/officeDocument/2006/relationships/hyperlink" Target="https://etfdb.com/etf/EWQ/" TargetMode="External"/><Relationship Id="rId38" Type="http://schemas.openxmlformats.org/officeDocument/2006/relationships/hyperlink" Target="https://etfdb.com/etf/GREK/" TargetMode="External"/><Relationship Id="rId46" Type="http://schemas.openxmlformats.org/officeDocument/2006/relationships/hyperlink" Target="https://etfdb.com/etf/EWT/" TargetMode="External"/><Relationship Id="rId59" Type="http://schemas.openxmlformats.org/officeDocument/2006/relationships/hyperlink" Target="https://etfdb.com/etf/SOYB/" TargetMode="External"/><Relationship Id="rId67" Type="http://schemas.openxmlformats.org/officeDocument/2006/relationships/hyperlink" Target="https://etfdb.com/etf/BOIL/" TargetMode="External"/><Relationship Id="rId20" Type="http://schemas.openxmlformats.org/officeDocument/2006/relationships/hyperlink" Target="https://etfdb.com/etf/FEZ/" TargetMode="External"/><Relationship Id="rId41" Type="http://schemas.openxmlformats.org/officeDocument/2006/relationships/hyperlink" Target="https://etfdb.com/etf/DAX/" TargetMode="External"/><Relationship Id="rId54" Type="http://schemas.openxmlformats.org/officeDocument/2006/relationships/hyperlink" Target="https://etfdb.com/etf/SGOV/" TargetMode="External"/><Relationship Id="rId62" Type="http://schemas.openxmlformats.org/officeDocument/2006/relationships/hyperlink" Target="https://etfdb.com/etf/FAAR/" TargetMode="External"/><Relationship Id="rId70" Type="http://schemas.openxmlformats.org/officeDocument/2006/relationships/hyperlink" Target="https://etfdb.com/etf/UGA/" TargetMode="External"/><Relationship Id="rId1" Type="http://schemas.openxmlformats.org/officeDocument/2006/relationships/hyperlink" Target="https://etfdb.com/etf/CANE/" TargetMode="External"/><Relationship Id="rId6" Type="http://schemas.openxmlformats.org/officeDocument/2006/relationships/hyperlink" Target="https://etfdb.com/etf/EWW/" TargetMode="External"/><Relationship Id="rId15" Type="http://schemas.openxmlformats.org/officeDocument/2006/relationships/hyperlink" Target="https://etfdb.com/etf/EZU/" TargetMode="External"/><Relationship Id="rId23" Type="http://schemas.openxmlformats.org/officeDocument/2006/relationships/hyperlink" Target="https://etfdb.com/etf/IEV/" TargetMode="External"/><Relationship Id="rId28" Type="http://schemas.openxmlformats.org/officeDocument/2006/relationships/hyperlink" Target="https://etfdb.com/etf/EWL/" TargetMode="External"/><Relationship Id="rId36" Type="http://schemas.openxmlformats.org/officeDocument/2006/relationships/hyperlink" Target="https://etfdb.com/etf/EWD/" TargetMode="External"/><Relationship Id="rId49" Type="http://schemas.openxmlformats.org/officeDocument/2006/relationships/hyperlink" Target="https://etfdb.com/etf/EWA/" TargetMode="External"/><Relationship Id="rId57" Type="http://schemas.openxmlformats.org/officeDocument/2006/relationships/hyperlink" Target="https://etfdb.com/etf/CORN/" TargetMode="External"/><Relationship Id="rId10" Type="http://schemas.openxmlformats.org/officeDocument/2006/relationships/hyperlink" Target="https://etfdb.com/etf/EPOL/" TargetMode="External"/><Relationship Id="rId31" Type="http://schemas.openxmlformats.org/officeDocument/2006/relationships/hyperlink" Target="https://etfdb.com/etf/EWI/" TargetMode="External"/><Relationship Id="rId44" Type="http://schemas.openxmlformats.org/officeDocument/2006/relationships/hyperlink" Target="https://etfdb.com/etf/EWJ/" TargetMode="External"/><Relationship Id="rId52" Type="http://schemas.openxmlformats.org/officeDocument/2006/relationships/hyperlink" Target="https://etfdb.com/etf/GGOV/" TargetMode="External"/><Relationship Id="rId60" Type="http://schemas.openxmlformats.org/officeDocument/2006/relationships/hyperlink" Target="https://etfdb.com/etf/SOYB/" TargetMode="External"/><Relationship Id="rId65" Type="http://schemas.openxmlformats.org/officeDocument/2006/relationships/hyperlink" Target="https://etfdb.com/etf/UNG/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etfdb.com/etf/KSA/" TargetMode="External"/><Relationship Id="rId9" Type="http://schemas.openxmlformats.org/officeDocument/2006/relationships/hyperlink" Target="https://etfdb.com/etf/ARGT/" TargetMode="External"/><Relationship Id="rId13" Type="http://schemas.openxmlformats.org/officeDocument/2006/relationships/hyperlink" Target="https://etfdb.com/etf/VGK/" TargetMode="External"/><Relationship Id="rId18" Type="http://schemas.openxmlformats.org/officeDocument/2006/relationships/hyperlink" Target="https://etfdb.com/etf/IEUR/" TargetMode="External"/><Relationship Id="rId39" Type="http://schemas.openxmlformats.org/officeDocument/2006/relationships/hyperlink" Target="https://etfdb.com/etf/EWN/" TargetMode="External"/><Relationship Id="rId34" Type="http://schemas.openxmlformats.org/officeDocument/2006/relationships/hyperlink" Target="https://etfdb.com/etf/EWQ/" TargetMode="External"/><Relationship Id="rId50" Type="http://schemas.openxmlformats.org/officeDocument/2006/relationships/hyperlink" Target="https://etfdb.com/etf/EWA/" TargetMode="External"/><Relationship Id="rId55" Type="http://schemas.openxmlformats.org/officeDocument/2006/relationships/hyperlink" Target="https://etfdb.com/etf/UCO/" TargetMode="External"/><Relationship Id="rId7" Type="http://schemas.openxmlformats.org/officeDocument/2006/relationships/hyperlink" Target="https://etfdb.com/etf/ILF/" TargetMode="External"/><Relationship Id="rId71" Type="http://schemas.openxmlformats.org/officeDocument/2006/relationships/hyperlink" Target="https://etfdb.com/etf/UGA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etfdb.com/etf/BOIL/" TargetMode="External"/><Relationship Id="rId18" Type="http://schemas.openxmlformats.org/officeDocument/2006/relationships/hyperlink" Target="https://etfdb.com/etf/AIA/" TargetMode="External"/><Relationship Id="rId26" Type="http://schemas.openxmlformats.org/officeDocument/2006/relationships/hyperlink" Target="https://etfdb.com/etf/MCHI/" TargetMode="External"/><Relationship Id="rId39" Type="http://schemas.openxmlformats.org/officeDocument/2006/relationships/hyperlink" Target="https://etfdb.com/etf/EWL/" TargetMode="External"/><Relationship Id="rId21" Type="http://schemas.openxmlformats.org/officeDocument/2006/relationships/hyperlink" Target="https://etfdb.com/etf/ILF/" TargetMode="External"/><Relationship Id="rId34" Type="http://schemas.openxmlformats.org/officeDocument/2006/relationships/hyperlink" Target="https://etfdb.com/etf/EWU/" TargetMode="External"/><Relationship Id="rId42" Type="http://schemas.openxmlformats.org/officeDocument/2006/relationships/hyperlink" Target="https://etfdb.com/etf/EWI/" TargetMode="External"/><Relationship Id="rId47" Type="http://schemas.openxmlformats.org/officeDocument/2006/relationships/hyperlink" Target="https://etfdb.com/etf/GREK/" TargetMode="External"/><Relationship Id="rId50" Type="http://schemas.openxmlformats.org/officeDocument/2006/relationships/hyperlink" Target="https://etfdb.com/etf/EWN/" TargetMode="External"/><Relationship Id="rId55" Type="http://schemas.openxmlformats.org/officeDocument/2006/relationships/hyperlink" Target="https://etfdb.com/etf/EWY/" TargetMode="External"/><Relationship Id="rId7" Type="http://schemas.openxmlformats.org/officeDocument/2006/relationships/hyperlink" Target="https://etfdb.com/etf/WEAT/" TargetMode="External"/><Relationship Id="rId2" Type="http://schemas.openxmlformats.org/officeDocument/2006/relationships/hyperlink" Target="https://etfdb.com/etf/CANE/" TargetMode="External"/><Relationship Id="rId16" Type="http://schemas.openxmlformats.org/officeDocument/2006/relationships/hyperlink" Target="https://etfdb.com/etf/UGA/" TargetMode="External"/><Relationship Id="rId29" Type="http://schemas.openxmlformats.org/officeDocument/2006/relationships/hyperlink" Target="https://etfdb.com/etf/EZU/" TargetMode="External"/><Relationship Id="rId11" Type="http://schemas.openxmlformats.org/officeDocument/2006/relationships/hyperlink" Target="https://etfdb.com/etf/UNG/" TargetMode="External"/><Relationship Id="rId24" Type="http://schemas.openxmlformats.org/officeDocument/2006/relationships/hyperlink" Target="https://etfdb.com/etf/EPOL/" TargetMode="External"/><Relationship Id="rId32" Type="http://schemas.openxmlformats.org/officeDocument/2006/relationships/hyperlink" Target="https://etfdb.com/etf/FEZ/" TargetMode="External"/><Relationship Id="rId37" Type="http://schemas.openxmlformats.org/officeDocument/2006/relationships/hyperlink" Target="https://etfdb.com/etf/EWG/" TargetMode="External"/><Relationship Id="rId40" Type="http://schemas.openxmlformats.org/officeDocument/2006/relationships/hyperlink" Target="https://etfdb.com/etf/EWL/" TargetMode="External"/><Relationship Id="rId45" Type="http://schemas.openxmlformats.org/officeDocument/2006/relationships/hyperlink" Target="https://etfdb.com/etf/EWD/" TargetMode="External"/><Relationship Id="rId53" Type="http://schemas.openxmlformats.org/officeDocument/2006/relationships/hyperlink" Target="https://etfdb.com/etf/EWT/" TargetMode="External"/><Relationship Id="rId58" Type="http://schemas.openxmlformats.org/officeDocument/2006/relationships/hyperlink" Target="https://etfdb.com/etf/EWA/" TargetMode="External"/><Relationship Id="rId5" Type="http://schemas.openxmlformats.org/officeDocument/2006/relationships/hyperlink" Target="https://etfdb.com/etf/SOYB/" TargetMode="External"/><Relationship Id="rId19" Type="http://schemas.openxmlformats.org/officeDocument/2006/relationships/hyperlink" Target="https://etfdb.com/etf/EWZ/" TargetMode="External"/><Relationship Id="rId4" Type="http://schemas.openxmlformats.org/officeDocument/2006/relationships/hyperlink" Target="https://etfdb.com/etf/WEAT/" TargetMode="External"/><Relationship Id="rId9" Type="http://schemas.openxmlformats.org/officeDocument/2006/relationships/hyperlink" Target="https://etfdb.com/etf/BWX/" TargetMode="External"/><Relationship Id="rId14" Type="http://schemas.openxmlformats.org/officeDocument/2006/relationships/hyperlink" Target="https://etfdb.com/etf/BOIL/" TargetMode="External"/><Relationship Id="rId22" Type="http://schemas.openxmlformats.org/officeDocument/2006/relationships/hyperlink" Target="https://etfdb.com/etf/ECH/" TargetMode="External"/><Relationship Id="rId27" Type="http://schemas.openxmlformats.org/officeDocument/2006/relationships/hyperlink" Target="https://etfdb.com/etf/VGK/" TargetMode="External"/><Relationship Id="rId30" Type="http://schemas.openxmlformats.org/officeDocument/2006/relationships/hyperlink" Target="https://etfdb.com/etf/EZU/" TargetMode="External"/><Relationship Id="rId35" Type="http://schemas.openxmlformats.org/officeDocument/2006/relationships/hyperlink" Target="https://etfdb.com/etf/IEV/" TargetMode="External"/><Relationship Id="rId43" Type="http://schemas.openxmlformats.org/officeDocument/2006/relationships/hyperlink" Target="https://etfdb.com/etf/EWQ/" TargetMode="External"/><Relationship Id="rId48" Type="http://schemas.openxmlformats.org/officeDocument/2006/relationships/hyperlink" Target="https://etfdb.com/etf/GREK/" TargetMode="External"/><Relationship Id="rId56" Type="http://schemas.openxmlformats.org/officeDocument/2006/relationships/hyperlink" Target="https://etfdb.com/etf/EWY/" TargetMode="External"/><Relationship Id="rId8" Type="http://schemas.openxmlformats.org/officeDocument/2006/relationships/hyperlink" Target="https://etfdb.com/etf/EMB/" TargetMode="External"/><Relationship Id="rId51" Type="http://schemas.openxmlformats.org/officeDocument/2006/relationships/hyperlink" Target="https://etfdb.com/etf/EWJ/" TargetMode="External"/><Relationship Id="rId3" Type="http://schemas.openxmlformats.org/officeDocument/2006/relationships/hyperlink" Target="https://etfdb.com/etf/CORN/" TargetMode="External"/><Relationship Id="rId12" Type="http://schemas.openxmlformats.org/officeDocument/2006/relationships/hyperlink" Target="https://etfdb.com/etf/UNG/" TargetMode="External"/><Relationship Id="rId17" Type="http://schemas.openxmlformats.org/officeDocument/2006/relationships/hyperlink" Target="https://etfdb.com/etf/DBE/" TargetMode="External"/><Relationship Id="rId25" Type="http://schemas.openxmlformats.org/officeDocument/2006/relationships/hyperlink" Target="https://etfdb.com/etf/TUR/" TargetMode="External"/><Relationship Id="rId33" Type="http://schemas.openxmlformats.org/officeDocument/2006/relationships/hyperlink" Target="https://etfdb.com/etf/EWU/" TargetMode="External"/><Relationship Id="rId38" Type="http://schemas.openxmlformats.org/officeDocument/2006/relationships/hyperlink" Target="https://etfdb.com/etf/EWG/" TargetMode="External"/><Relationship Id="rId46" Type="http://schemas.openxmlformats.org/officeDocument/2006/relationships/hyperlink" Target="https://etfdb.com/etf/EWD/" TargetMode="External"/><Relationship Id="rId20" Type="http://schemas.openxmlformats.org/officeDocument/2006/relationships/hyperlink" Target="https://etfdb.com/etf/EWW/" TargetMode="External"/><Relationship Id="rId41" Type="http://schemas.openxmlformats.org/officeDocument/2006/relationships/hyperlink" Target="https://etfdb.com/etf/EWI/" TargetMode="External"/><Relationship Id="rId54" Type="http://schemas.openxmlformats.org/officeDocument/2006/relationships/hyperlink" Target="https://etfdb.com/etf/EWT/" TargetMode="External"/><Relationship Id="rId1" Type="http://schemas.openxmlformats.org/officeDocument/2006/relationships/hyperlink" Target="https://etfdb.com/etf/CANE/" TargetMode="External"/><Relationship Id="rId6" Type="http://schemas.openxmlformats.org/officeDocument/2006/relationships/hyperlink" Target="https://etfdb.com/etf/SOYB/" TargetMode="External"/><Relationship Id="rId15" Type="http://schemas.openxmlformats.org/officeDocument/2006/relationships/hyperlink" Target="https://etfdb.com/etf/UGA/" TargetMode="External"/><Relationship Id="rId23" Type="http://schemas.openxmlformats.org/officeDocument/2006/relationships/hyperlink" Target="https://etfdb.com/etf/ARGT/" TargetMode="External"/><Relationship Id="rId28" Type="http://schemas.openxmlformats.org/officeDocument/2006/relationships/hyperlink" Target="https://etfdb.com/etf/VGK/" TargetMode="External"/><Relationship Id="rId36" Type="http://schemas.openxmlformats.org/officeDocument/2006/relationships/hyperlink" Target="https://etfdb.com/etf/IEV/" TargetMode="External"/><Relationship Id="rId49" Type="http://schemas.openxmlformats.org/officeDocument/2006/relationships/hyperlink" Target="https://etfdb.com/etf/EWN/" TargetMode="External"/><Relationship Id="rId57" Type="http://schemas.openxmlformats.org/officeDocument/2006/relationships/hyperlink" Target="https://etfdb.com/etf/EWA/" TargetMode="External"/><Relationship Id="rId10" Type="http://schemas.openxmlformats.org/officeDocument/2006/relationships/hyperlink" Target="https://etfdb.com/etf/UCO/" TargetMode="External"/><Relationship Id="rId31" Type="http://schemas.openxmlformats.org/officeDocument/2006/relationships/hyperlink" Target="https://etfdb.com/etf/FEZ/" TargetMode="External"/><Relationship Id="rId44" Type="http://schemas.openxmlformats.org/officeDocument/2006/relationships/hyperlink" Target="https://etfdb.com/etf/EWQ/" TargetMode="External"/><Relationship Id="rId52" Type="http://schemas.openxmlformats.org/officeDocument/2006/relationships/hyperlink" Target="https://etfdb.com/etf/EWJ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1BA7-9D71-4E42-AE80-8B2944B249BA}">
  <dimension ref="A1:B17"/>
  <sheetViews>
    <sheetView workbookViewId="0">
      <selection activeCell="B9" sqref="B9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33" width="10.33203125" bestFit="1" customWidth="1"/>
    <col min="34" max="34" width="7" bestFit="1" customWidth="1"/>
    <col min="35" max="35" width="10.5546875" bestFit="1" customWidth="1"/>
  </cols>
  <sheetData>
    <row r="1" spans="1:2" x14ac:dyDescent="0.3">
      <c r="A1" s="5" t="s">
        <v>0</v>
      </c>
      <c r="B1" t="s">
        <v>1</v>
      </c>
    </row>
    <row r="2" spans="1:2" x14ac:dyDescent="0.3">
      <c r="A2" s="5" t="s">
        <v>2</v>
      </c>
      <c r="B2" t="s">
        <v>1</v>
      </c>
    </row>
    <row r="3" spans="1:2" x14ac:dyDescent="0.3">
      <c r="A3" s="5" t="s">
        <v>34</v>
      </c>
      <c r="B3" t="s">
        <v>1</v>
      </c>
    </row>
    <row r="4" spans="1:2" x14ac:dyDescent="0.3">
      <c r="A4" s="5" t="s">
        <v>332</v>
      </c>
      <c r="B4" t="s">
        <v>335</v>
      </c>
    </row>
    <row r="5" spans="1:2" x14ac:dyDescent="0.3">
      <c r="A5" s="5" t="s">
        <v>333</v>
      </c>
      <c r="B5" t="s">
        <v>1</v>
      </c>
    </row>
    <row r="6" spans="1:2" x14ac:dyDescent="0.3">
      <c r="A6" s="5" t="s">
        <v>334</v>
      </c>
      <c r="B6" t="s">
        <v>1</v>
      </c>
    </row>
    <row r="7" spans="1:2" x14ac:dyDescent="0.3">
      <c r="A7" s="5" t="s">
        <v>330</v>
      </c>
      <c r="B7" t="s">
        <v>1</v>
      </c>
    </row>
    <row r="8" spans="1:2" x14ac:dyDescent="0.3">
      <c r="A8" s="5" t="s">
        <v>30</v>
      </c>
      <c r="B8" t="s">
        <v>37</v>
      </c>
    </row>
    <row r="9" spans="1:2" x14ac:dyDescent="0.3">
      <c r="A9" s="5" t="s">
        <v>35</v>
      </c>
      <c r="B9" t="s">
        <v>40</v>
      </c>
    </row>
    <row r="11" spans="1:2" x14ac:dyDescent="0.3">
      <c r="A11" s="5" t="s">
        <v>4</v>
      </c>
      <c r="B11" t="s">
        <v>5</v>
      </c>
    </row>
    <row r="12" spans="1:2" x14ac:dyDescent="0.3">
      <c r="A12" s="6" t="s">
        <v>6</v>
      </c>
      <c r="B12" s="24">
        <v>8</v>
      </c>
    </row>
    <row r="13" spans="1:2" x14ac:dyDescent="0.3">
      <c r="A13" s="6" t="s">
        <v>240</v>
      </c>
      <c r="B13" s="24">
        <v>31</v>
      </c>
    </row>
    <row r="14" spans="1:2" x14ac:dyDescent="0.3">
      <c r="A14" s="6" t="s">
        <v>110</v>
      </c>
      <c r="B14" s="24">
        <v>5</v>
      </c>
    </row>
    <row r="15" spans="1:2" x14ac:dyDescent="0.3">
      <c r="A15" s="6" t="s">
        <v>336</v>
      </c>
      <c r="B15" s="24">
        <v>6</v>
      </c>
    </row>
    <row r="16" spans="1:2" x14ac:dyDescent="0.3">
      <c r="A16" s="6" t="s">
        <v>112</v>
      </c>
      <c r="B16" s="24">
        <v>4</v>
      </c>
    </row>
    <row r="17" spans="1:2" x14ac:dyDescent="0.3">
      <c r="A17" s="6" t="s">
        <v>29</v>
      </c>
      <c r="B17" s="24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9"/>
  <sheetViews>
    <sheetView topLeftCell="A30" workbookViewId="0">
      <selection activeCell="B1" sqref="B1:E89"/>
    </sheetView>
  </sheetViews>
  <sheetFormatPr defaultRowHeight="14.4" x14ac:dyDescent="0.3"/>
  <cols>
    <col min="1" max="1" width="9.6640625" customWidth="1"/>
    <col min="2" max="2" width="18" bestFit="1" customWidth="1"/>
    <col min="3" max="3" width="20.33203125" customWidth="1"/>
    <col min="4" max="4" width="11.5546875" bestFit="1" customWidth="1"/>
    <col min="5" max="5" width="47.6640625" customWidth="1"/>
    <col min="7" max="7" width="12.33203125" customWidth="1"/>
    <col min="8" max="8" width="14.6640625" style="15" customWidth="1"/>
    <col min="9" max="9" width="14.6640625" style="13" customWidth="1"/>
    <col min="10" max="10" width="13.33203125" style="13" customWidth="1"/>
    <col min="11" max="11" width="14" style="13" customWidth="1"/>
  </cols>
  <sheetData>
    <row r="1" spans="1:11" s="4" customFormat="1" x14ac:dyDescent="0.3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16" t="s">
        <v>331</v>
      </c>
      <c r="I1" s="4" t="s">
        <v>0</v>
      </c>
      <c r="J1" s="4" t="s">
        <v>2</v>
      </c>
      <c r="K1" s="4" t="s">
        <v>330</v>
      </c>
    </row>
    <row r="2" spans="1:11" x14ac:dyDescent="0.3">
      <c r="A2" t="s">
        <v>37</v>
      </c>
      <c r="B2" t="s">
        <v>110</v>
      </c>
      <c r="C2" t="s">
        <v>110</v>
      </c>
      <c r="D2" t="s">
        <v>111</v>
      </c>
      <c r="E2" t="s">
        <v>12</v>
      </c>
      <c r="F2" t="s">
        <v>40</v>
      </c>
      <c r="G2" t="s">
        <v>41</v>
      </c>
      <c r="H2" s="15">
        <f>VLOOKUP(D2,yahooData!A:F,3,FALSE)</f>
        <v>40462</v>
      </c>
      <c r="I2" s="13" t="s">
        <v>3</v>
      </c>
      <c r="J2" s="13" t="s">
        <v>3</v>
      </c>
      <c r="K2" s="13" t="s">
        <v>3</v>
      </c>
    </row>
    <row r="3" spans="1:11" x14ac:dyDescent="0.3">
      <c r="A3" t="s">
        <v>37</v>
      </c>
      <c r="B3" t="s">
        <v>110</v>
      </c>
      <c r="C3" t="s">
        <v>116</v>
      </c>
      <c r="D3" s="3" t="s">
        <v>117</v>
      </c>
      <c r="E3" s="3" t="s">
        <v>17</v>
      </c>
      <c r="F3" t="s">
        <v>40</v>
      </c>
      <c r="G3" t="s">
        <v>41</v>
      </c>
      <c r="H3" s="15">
        <f>VLOOKUP(D3,yahooData!A:F,3,FALSE)</f>
        <v>40805</v>
      </c>
      <c r="I3" s="13" t="s">
        <v>3</v>
      </c>
      <c r="J3" s="13" t="s">
        <v>3</v>
      </c>
      <c r="K3" s="13" t="s">
        <v>3</v>
      </c>
    </row>
    <row r="4" spans="1:11" ht="15" thickBot="1" x14ac:dyDescent="0.35">
      <c r="A4" t="s">
        <v>37</v>
      </c>
      <c r="B4" t="s">
        <v>110</v>
      </c>
      <c r="C4" t="s">
        <v>337</v>
      </c>
      <c r="D4" s="3" t="s">
        <v>338</v>
      </c>
      <c r="E4" s="10" t="s">
        <v>339</v>
      </c>
      <c r="F4" t="s">
        <v>40</v>
      </c>
      <c r="K4" s="13" t="s">
        <v>3</v>
      </c>
    </row>
    <row r="5" spans="1:11" ht="15" thickBot="1" x14ac:dyDescent="0.35">
      <c r="A5" t="s">
        <v>37</v>
      </c>
      <c r="B5" t="s">
        <v>110</v>
      </c>
      <c r="C5" t="s">
        <v>346</v>
      </c>
      <c r="D5" s="3" t="s">
        <v>340</v>
      </c>
      <c r="E5" s="3" t="s">
        <v>343</v>
      </c>
      <c r="F5" t="s">
        <v>40</v>
      </c>
      <c r="K5" s="13" t="s">
        <v>3</v>
      </c>
    </row>
    <row r="6" spans="1:11" ht="15" thickBot="1" x14ac:dyDescent="0.35">
      <c r="A6" t="s">
        <v>37</v>
      </c>
      <c r="B6" t="s">
        <v>110</v>
      </c>
      <c r="C6" t="s">
        <v>347</v>
      </c>
      <c r="D6" s="3" t="s">
        <v>341</v>
      </c>
      <c r="E6" s="8" t="s">
        <v>342</v>
      </c>
      <c r="F6" t="s">
        <v>40</v>
      </c>
      <c r="K6" s="13" t="s">
        <v>3</v>
      </c>
    </row>
    <row r="7" spans="1:11" x14ac:dyDescent="0.3">
      <c r="A7" t="s">
        <v>37</v>
      </c>
      <c r="B7" t="s">
        <v>110</v>
      </c>
      <c r="C7" t="s">
        <v>110</v>
      </c>
      <c r="D7" s="3" t="s">
        <v>344</v>
      </c>
      <c r="E7" s="3" t="s">
        <v>345</v>
      </c>
      <c r="F7" t="s">
        <v>40</v>
      </c>
      <c r="H7" s="15">
        <v>42513</v>
      </c>
    </row>
    <row r="8" spans="1:11" x14ac:dyDescent="0.3">
      <c r="A8" t="s">
        <v>37</v>
      </c>
      <c r="B8" t="s">
        <v>6</v>
      </c>
      <c r="C8" t="s">
        <v>118</v>
      </c>
      <c r="D8" s="1" t="s">
        <v>119</v>
      </c>
      <c r="E8" t="s">
        <v>120</v>
      </c>
      <c r="F8" t="s">
        <v>40</v>
      </c>
      <c r="G8" t="s">
        <v>45</v>
      </c>
      <c r="H8" s="15">
        <f>VLOOKUP(D8,yahooData!A:F,3,FALSE)</f>
        <v>40462</v>
      </c>
      <c r="K8" s="13" t="s">
        <v>3</v>
      </c>
    </row>
    <row r="9" spans="1:11" x14ac:dyDescent="0.3">
      <c r="A9" t="s">
        <v>37</v>
      </c>
      <c r="B9" t="s">
        <v>6</v>
      </c>
      <c r="C9" t="s">
        <v>121</v>
      </c>
      <c r="D9" s="1" t="s">
        <v>122</v>
      </c>
      <c r="E9" t="s">
        <v>8</v>
      </c>
      <c r="F9" t="s">
        <v>40</v>
      </c>
      <c r="G9" t="s">
        <v>41</v>
      </c>
      <c r="H9" s="15">
        <f>VLOOKUP(D9,yahooData!A:F,3,FALSE)</f>
        <v>40462</v>
      </c>
      <c r="I9" s="13" t="s">
        <v>3</v>
      </c>
      <c r="J9" s="13" t="s">
        <v>3</v>
      </c>
      <c r="K9" s="13" t="s">
        <v>3</v>
      </c>
    </row>
    <row r="10" spans="1:11" x14ac:dyDescent="0.3">
      <c r="A10" t="s">
        <v>37</v>
      </c>
      <c r="B10" t="s">
        <v>6</v>
      </c>
      <c r="C10" t="s">
        <v>123</v>
      </c>
      <c r="D10" s="1" t="s">
        <v>124</v>
      </c>
      <c r="E10" t="s">
        <v>125</v>
      </c>
      <c r="F10" t="s">
        <v>40</v>
      </c>
      <c r="G10" t="s">
        <v>45</v>
      </c>
      <c r="H10" s="15">
        <f>VLOOKUP(D10,yahooData!A:F,3,FALSE)</f>
        <v>40462</v>
      </c>
      <c r="K10" s="13" t="s">
        <v>3</v>
      </c>
    </row>
    <row r="11" spans="1:11" hidden="1" x14ac:dyDescent="0.3">
      <c r="A11" t="s">
        <v>37</v>
      </c>
      <c r="B11" t="s">
        <v>6</v>
      </c>
      <c r="C11" t="s">
        <v>131</v>
      </c>
      <c r="D11" s="1" t="s">
        <v>132</v>
      </c>
      <c r="E11" t="s">
        <v>133</v>
      </c>
      <c r="F11" t="s">
        <v>60</v>
      </c>
      <c r="G11" t="s">
        <v>61</v>
      </c>
      <c r="H11" s="15">
        <f>VLOOKUP(D11,yahooData!A:F,3,FALSE)</f>
        <v>40462</v>
      </c>
      <c r="I11" s="13" t="s">
        <v>3</v>
      </c>
      <c r="K11"/>
    </row>
    <row r="12" spans="1:11" hidden="1" x14ac:dyDescent="0.3">
      <c r="A12" t="s">
        <v>37</v>
      </c>
      <c r="B12" t="s">
        <v>6</v>
      </c>
      <c r="C12" t="s">
        <v>134</v>
      </c>
      <c r="D12" s="3" t="s">
        <v>135</v>
      </c>
      <c r="E12" s="3" t="s">
        <v>10</v>
      </c>
      <c r="F12" t="s">
        <v>40</v>
      </c>
      <c r="G12" t="s">
        <v>41</v>
      </c>
      <c r="H12" s="15">
        <f>VLOOKUP(D12,yahooData!A:F,3,FALSE)</f>
        <v>45834</v>
      </c>
    </row>
    <row r="13" spans="1:11" x14ac:dyDescent="0.3">
      <c r="A13" t="s">
        <v>37</v>
      </c>
      <c r="B13" t="s">
        <v>6</v>
      </c>
      <c r="C13" t="s">
        <v>126</v>
      </c>
      <c r="D13" s="1" t="s">
        <v>127</v>
      </c>
      <c r="E13" t="s">
        <v>9</v>
      </c>
      <c r="F13" t="s">
        <v>40</v>
      </c>
      <c r="G13" t="s">
        <v>45</v>
      </c>
      <c r="H13" s="15">
        <f>VLOOKUP(D13,yahooData!A:F,3,FALSE)</f>
        <v>41206</v>
      </c>
      <c r="J13" s="13" t="s">
        <v>3</v>
      </c>
      <c r="K13" s="13" t="s">
        <v>3</v>
      </c>
    </row>
    <row r="14" spans="1:11" hidden="1" x14ac:dyDescent="0.3">
      <c r="A14" t="s">
        <v>37</v>
      </c>
      <c r="B14" t="s">
        <v>6</v>
      </c>
      <c r="C14" t="s">
        <v>138</v>
      </c>
      <c r="D14" s="1" t="s">
        <v>139</v>
      </c>
      <c r="E14" s="1" t="s">
        <v>140</v>
      </c>
      <c r="F14" t="s">
        <v>60</v>
      </c>
      <c r="G14" t="s">
        <v>141</v>
      </c>
      <c r="H14" s="15">
        <f>VLOOKUP(D14,yahooData!A:F,3,FALSE)</f>
        <v>41037</v>
      </c>
      <c r="I14" s="13" t="s">
        <v>3</v>
      </c>
      <c r="K14"/>
    </row>
    <row r="15" spans="1:11" hidden="1" x14ac:dyDescent="0.3">
      <c r="A15" t="s">
        <v>37</v>
      </c>
      <c r="B15" t="s">
        <v>6</v>
      </c>
      <c r="C15" t="s">
        <v>142</v>
      </c>
      <c r="D15" s="1" t="s">
        <v>143</v>
      </c>
      <c r="E15" s="1" t="s">
        <v>144</v>
      </c>
      <c r="F15" t="s">
        <v>60</v>
      </c>
      <c r="G15" t="s">
        <v>145</v>
      </c>
      <c r="H15" s="15">
        <f>VLOOKUP(D15,yahooData!A:F,3,FALSE)</f>
        <v>45341</v>
      </c>
      <c r="K15"/>
    </row>
    <row r="16" spans="1:11" hidden="1" x14ac:dyDescent="0.3">
      <c r="A16" t="s">
        <v>37</v>
      </c>
      <c r="B16" t="s">
        <v>6</v>
      </c>
      <c r="C16" t="s">
        <v>146</v>
      </c>
      <c r="D16" s="1" t="s">
        <v>147</v>
      </c>
      <c r="E16" s="1" t="s">
        <v>148</v>
      </c>
      <c r="F16" t="s">
        <v>149</v>
      </c>
      <c r="G16" t="s">
        <v>141</v>
      </c>
      <c r="H16" s="15">
        <f>VLOOKUP(D16,yahooData!A:F,3,FALSE)</f>
        <v>40462</v>
      </c>
      <c r="I16" s="13" t="s">
        <v>3</v>
      </c>
      <c r="K16"/>
    </row>
    <row r="17" spans="1:11" hidden="1" x14ac:dyDescent="0.3">
      <c r="A17" t="s">
        <v>37</v>
      </c>
      <c r="B17" t="s">
        <v>6</v>
      </c>
      <c r="C17" t="s">
        <v>126</v>
      </c>
      <c r="D17" s="1" t="s">
        <v>150</v>
      </c>
      <c r="E17" t="s">
        <v>151</v>
      </c>
      <c r="F17" t="s">
        <v>60</v>
      </c>
      <c r="G17" t="s">
        <v>152</v>
      </c>
      <c r="H17" s="15">
        <f>VLOOKUP(D17,yahooData!A:F,3,FALSE)</f>
        <v>43521</v>
      </c>
      <c r="K17"/>
    </row>
    <row r="18" spans="1:11" hidden="1" x14ac:dyDescent="0.3">
      <c r="A18" t="s">
        <v>37</v>
      </c>
      <c r="B18" t="s">
        <v>6</v>
      </c>
      <c r="C18" t="s">
        <v>153</v>
      </c>
      <c r="D18" s="1" t="s">
        <v>154</v>
      </c>
      <c r="E18" t="s">
        <v>155</v>
      </c>
      <c r="F18" t="s">
        <v>60</v>
      </c>
      <c r="G18" t="s">
        <v>152</v>
      </c>
      <c r="H18" s="15">
        <f>VLOOKUP(D18,yahooData!A:F,3,FALSE)</f>
        <v>45933</v>
      </c>
      <c r="K18"/>
    </row>
    <row r="19" spans="1:11" hidden="1" x14ac:dyDescent="0.3">
      <c r="A19" t="s">
        <v>37</v>
      </c>
      <c r="B19" t="s">
        <v>6</v>
      </c>
      <c r="C19" t="s">
        <v>156</v>
      </c>
      <c r="D19" s="1" t="s">
        <v>157</v>
      </c>
      <c r="E19" t="s">
        <v>158</v>
      </c>
      <c r="F19" t="s">
        <v>159</v>
      </c>
      <c r="G19" t="s">
        <v>160</v>
      </c>
      <c r="H19" s="15">
        <f>VLOOKUP(D19,yahooData!A:F,3,FALSE)</f>
        <v>45932</v>
      </c>
      <c r="K19"/>
    </row>
    <row r="20" spans="1:11" hidden="1" x14ac:dyDescent="0.3">
      <c r="A20" t="s">
        <v>37</v>
      </c>
      <c r="B20" t="s">
        <v>6</v>
      </c>
      <c r="C20" t="s">
        <v>156</v>
      </c>
      <c r="D20" t="s">
        <v>161</v>
      </c>
      <c r="E20" t="s">
        <v>162</v>
      </c>
      <c r="F20" t="s">
        <v>159</v>
      </c>
      <c r="G20" t="s">
        <v>61</v>
      </c>
      <c r="H20" s="15">
        <f>VLOOKUP(D20,yahooData!A:F,3,FALSE)</f>
        <v>45684</v>
      </c>
      <c r="K20"/>
    </row>
    <row r="21" spans="1:11" hidden="1" x14ac:dyDescent="0.3">
      <c r="A21" t="s">
        <v>37</v>
      </c>
      <c r="B21" t="s">
        <v>6</v>
      </c>
      <c r="C21" t="s">
        <v>153</v>
      </c>
      <c r="D21" s="1" t="s">
        <v>163</v>
      </c>
      <c r="E21" s="3" t="s">
        <v>7</v>
      </c>
      <c r="F21" t="s">
        <v>40</v>
      </c>
      <c r="G21" t="s">
        <v>41</v>
      </c>
      <c r="H21" s="15">
        <f>VLOOKUP(D21,yahooData!A:F,3,FALSE)</f>
        <v>43983</v>
      </c>
    </row>
    <row r="22" spans="1:11" x14ac:dyDescent="0.3">
      <c r="A22" t="s">
        <v>37</v>
      </c>
      <c r="B22" t="s">
        <v>6</v>
      </c>
      <c r="C22" t="s">
        <v>128</v>
      </c>
      <c r="D22" s="1" t="s">
        <v>129</v>
      </c>
      <c r="E22" t="s">
        <v>130</v>
      </c>
      <c r="F22" t="s">
        <v>40</v>
      </c>
      <c r="G22" t="s">
        <v>45</v>
      </c>
      <c r="H22" s="15">
        <f>VLOOKUP(D22,yahooData!A:F,3,FALSE)</f>
        <v>40462</v>
      </c>
      <c r="K22" s="13" t="s">
        <v>3</v>
      </c>
    </row>
    <row r="23" spans="1:11" hidden="1" x14ac:dyDescent="0.3">
      <c r="A23" t="s">
        <v>37</v>
      </c>
      <c r="B23" t="s">
        <v>6</v>
      </c>
      <c r="C23" t="s">
        <v>320</v>
      </c>
      <c r="D23" t="s">
        <v>321</v>
      </c>
      <c r="F23" t="s">
        <v>40</v>
      </c>
      <c r="H23" s="15">
        <f>VLOOKUP(D23,yahooData!A:F,3,FALSE)</f>
        <v>41954</v>
      </c>
      <c r="J23" s="13" t="s">
        <v>3</v>
      </c>
    </row>
    <row r="24" spans="1:11" x14ac:dyDescent="0.3">
      <c r="A24" t="s">
        <v>37</v>
      </c>
      <c r="B24" t="s">
        <v>6</v>
      </c>
      <c r="C24" t="s">
        <v>136</v>
      </c>
      <c r="D24" s="3" t="s">
        <v>137</v>
      </c>
      <c r="E24" s="3" t="s">
        <v>11</v>
      </c>
      <c r="F24" t="s">
        <v>40</v>
      </c>
      <c r="G24" t="s">
        <v>45</v>
      </c>
      <c r="H24" s="15">
        <f>VLOOKUP(D24,yahooData!A:F,3,FALSE)</f>
        <v>40462</v>
      </c>
      <c r="J24" s="13" t="s">
        <v>3</v>
      </c>
      <c r="K24" s="13" t="s">
        <v>3</v>
      </c>
    </row>
    <row r="25" spans="1:11" x14ac:dyDescent="0.3">
      <c r="A25" t="s">
        <v>37</v>
      </c>
      <c r="B25" t="s">
        <v>6</v>
      </c>
      <c r="C25" t="s">
        <v>317</v>
      </c>
      <c r="D25" t="s">
        <v>318</v>
      </c>
      <c r="E25" s="3" t="s">
        <v>319</v>
      </c>
      <c r="F25" t="s">
        <v>40</v>
      </c>
      <c r="H25" s="15">
        <f>VLOOKUP(D25,yahooData!A:F,3,FALSE)</f>
        <v>40462</v>
      </c>
      <c r="J25" s="13" t="s">
        <v>3</v>
      </c>
      <c r="K25" s="13" t="s">
        <v>3</v>
      </c>
    </row>
    <row r="26" spans="1:11" x14ac:dyDescent="0.3">
      <c r="A26" t="s">
        <v>37</v>
      </c>
      <c r="B26" t="s">
        <v>6</v>
      </c>
      <c r="C26" t="s">
        <v>324</v>
      </c>
      <c r="D26" t="s">
        <v>323</v>
      </c>
      <c r="E26" t="s">
        <v>322</v>
      </c>
      <c r="F26" t="s">
        <v>40</v>
      </c>
      <c r="H26" s="15">
        <f>VLOOKUP(D26,yahooData!A:F,3,FALSE)</f>
        <v>40462</v>
      </c>
      <c r="J26" s="13" t="s">
        <v>3</v>
      </c>
      <c r="K26" s="13" t="s">
        <v>3</v>
      </c>
    </row>
    <row r="27" spans="1:11" hidden="1" x14ac:dyDescent="0.3">
      <c r="A27" t="s">
        <v>88</v>
      </c>
      <c r="B27" t="s">
        <v>336</v>
      </c>
      <c r="C27" t="s">
        <v>104</v>
      </c>
      <c r="D27" t="s">
        <v>107</v>
      </c>
      <c r="E27" t="s">
        <v>108</v>
      </c>
      <c r="F27" t="s">
        <v>40</v>
      </c>
      <c r="G27" t="s">
        <v>109</v>
      </c>
      <c r="H27" s="15">
        <f>VLOOKUP(D27,yahooData!A:F,3,FALSE)</f>
        <v>40462</v>
      </c>
    </row>
    <row r="28" spans="1:11" hidden="1" x14ac:dyDescent="0.3">
      <c r="A28" t="s">
        <v>37</v>
      </c>
      <c r="B28" t="s">
        <v>336</v>
      </c>
      <c r="C28" t="s">
        <v>104</v>
      </c>
      <c r="D28" t="s">
        <v>105</v>
      </c>
      <c r="E28" t="s">
        <v>15</v>
      </c>
      <c r="F28" t="s">
        <v>40</v>
      </c>
      <c r="G28" t="s">
        <v>106</v>
      </c>
      <c r="H28" s="15">
        <f>VLOOKUP(D28,yahooData!A:F,3,FALSE)</f>
        <v>42641</v>
      </c>
      <c r="I28" s="13" t="s">
        <v>3</v>
      </c>
    </row>
    <row r="29" spans="1:11" x14ac:dyDescent="0.3">
      <c r="A29" t="s">
        <v>37</v>
      </c>
      <c r="B29" t="s">
        <v>336</v>
      </c>
      <c r="C29" t="s">
        <v>104</v>
      </c>
      <c r="D29" t="s">
        <v>313</v>
      </c>
      <c r="E29" t="s">
        <v>314</v>
      </c>
      <c r="F29" t="s">
        <v>40</v>
      </c>
      <c r="H29" s="15">
        <f>VLOOKUP(D29,yahooData!A:F,3,FALSE)</f>
        <v>40462</v>
      </c>
      <c r="J29" s="13" t="s">
        <v>3</v>
      </c>
      <c r="K29" s="13" t="s">
        <v>3</v>
      </c>
    </row>
    <row r="30" spans="1:11" x14ac:dyDescent="0.3">
      <c r="A30" t="s">
        <v>37</v>
      </c>
      <c r="B30" t="s">
        <v>336</v>
      </c>
      <c r="C30" t="s">
        <v>104</v>
      </c>
      <c r="D30" t="s">
        <v>315</v>
      </c>
      <c r="E30" s="3" t="s">
        <v>316</v>
      </c>
      <c r="F30" t="s">
        <v>40</v>
      </c>
      <c r="H30" s="15">
        <f>VLOOKUP(D30,yahooData!A:F,3,FALSE)</f>
        <v>40462</v>
      </c>
      <c r="K30" s="13" t="s">
        <v>3</v>
      </c>
    </row>
    <row r="31" spans="1:11" ht="15" thickBot="1" x14ac:dyDescent="0.35">
      <c r="A31" t="s">
        <v>37</v>
      </c>
      <c r="B31" t="s">
        <v>336</v>
      </c>
      <c r="C31" t="s">
        <v>358</v>
      </c>
      <c r="D31" s="3" t="s">
        <v>348</v>
      </c>
      <c r="E31" s="3" t="s">
        <v>349</v>
      </c>
      <c r="F31" t="s">
        <v>40</v>
      </c>
      <c r="K31" s="13" t="s">
        <v>3</v>
      </c>
    </row>
    <row r="32" spans="1:11" ht="15" thickBot="1" x14ac:dyDescent="0.35">
      <c r="A32" t="s">
        <v>37</v>
      </c>
      <c r="B32" t="s">
        <v>336</v>
      </c>
      <c r="C32" t="s">
        <v>358</v>
      </c>
      <c r="D32" s="3" t="s">
        <v>351</v>
      </c>
      <c r="E32" s="7" t="s">
        <v>350</v>
      </c>
      <c r="F32" t="s">
        <v>40</v>
      </c>
      <c r="K32" s="13" t="s">
        <v>3</v>
      </c>
    </row>
    <row r="33" spans="1:11" ht="15" thickBot="1" x14ac:dyDescent="0.35">
      <c r="A33" t="s">
        <v>37</v>
      </c>
      <c r="B33" t="s">
        <v>336</v>
      </c>
      <c r="C33" t="s">
        <v>360</v>
      </c>
      <c r="D33" s="3" t="s">
        <v>353</v>
      </c>
      <c r="E33" s="3" t="s">
        <v>352</v>
      </c>
      <c r="F33" t="s">
        <v>40</v>
      </c>
      <c r="H33" s="15">
        <v>44043</v>
      </c>
    </row>
    <row r="34" spans="1:11" ht="15" thickBot="1" x14ac:dyDescent="0.35">
      <c r="A34" t="s">
        <v>37</v>
      </c>
      <c r="B34" t="s">
        <v>336</v>
      </c>
      <c r="C34" t="s">
        <v>359</v>
      </c>
      <c r="D34" s="3" t="s">
        <v>355</v>
      </c>
      <c r="E34" s="7" t="s">
        <v>354</v>
      </c>
      <c r="F34" t="s">
        <v>40</v>
      </c>
      <c r="K34" s="13" t="s">
        <v>3</v>
      </c>
    </row>
    <row r="35" spans="1:11" x14ac:dyDescent="0.3">
      <c r="A35" t="s">
        <v>37</v>
      </c>
      <c r="B35" t="s">
        <v>336</v>
      </c>
      <c r="C35" t="s">
        <v>336</v>
      </c>
      <c r="D35" t="s">
        <v>357</v>
      </c>
      <c r="E35" s="3" t="s">
        <v>356</v>
      </c>
      <c r="F35" t="s">
        <v>40</v>
      </c>
      <c r="K35" s="13" t="s">
        <v>3</v>
      </c>
    </row>
    <row r="36" spans="1:11" x14ac:dyDescent="0.3">
      <c r="A36" t="s">
        <v>37</v>
      </c>
      <c r="B36" t="s">
        <v>240</v>
      </c>
      <c r="C36" t="s">
        <v>38</v>
      </c>
      <c r="D36" t="s">
        <v>39</v>
      </c>
      <c r="E36" s="1" t="s">
        <v>21</v>
      </c>
      <c r="F36" t="s">
        <v>40</v>
      </c>
      <c r="G36" t="s">
        <v>41</v>
      </c>
      <c r="H36" s="15">
        <f>VLOOKUP(D36,yahooData!A:F,3,FALSE)</f>
        <v>40462</v>
      </c>
      <c r="I36" s="13" t="s">
        <v>3</v>
      </c>
      <c r="J36" s="13" t="s">
        <v>3</v>
      </c>
      <c r="K36" s="13" t="s">
        <v>3</v>
      </c>
    </row>
    <row r="37" spans="1:11" x14ac:dyDescent="0.3">
      <c r="A37" t="s">
        <v>37</v>
      </c>
      <c r="B37" t="s">
        <v>240</v>
      </c>
      <c r="C37" t="s">
        <v>42</v>
      </c>
      <c r="D37" t="s">
        <v>43</v>
      </c>
      <c r="E37" s="1" t="s">
        <v>44</v>
      </c>
      <c r="F37" t="s">
        <v>40</v>
      </c>
      <c r="G37" t="s">
        <v>45</v>
      </c>
      <c r="H37" s="15">
        <f>VLOOKUP(D37,yahooData!A:F,3,FALSE)</f>
        <v>40462</v>
      </c>
      <c r="K37" s="13" t="s">
        <v>3</v>
      </c>
    </row>
    <row r="38" spans="1:11" x14ac:dyDescent="0.3">
      <c r="A38" t="s">
        <v>37</v>
      </c>
      <c r="B38" t="s">
        <v>240</v>
      </c>
      <c r="C38" t="s">
        <v>46</v>
      </c>
      <c r="D38" t="s">
        <v>47</v>
      </c>
      <c r="E38" s="1" t="s">
        <v>48</v>
      </c>
      <c r="F38" t="s">
        <v>40</v>
      </c>
      <c r="G38" t="s">
        <v>41</v>
      </c>
      <c r="H38" s="15">
        <f>VLOOKUP(D38,yahooData!A:F,3,FALSE)</f>
        <v>40920</v>
      </c>
      <c r="K38" s="13" t="s">
        <v>3</v>
      </c>
    </row>
    <row r="39" spans="1:11" x14ac:dyDescent="0.3">
      <c r="A39" t="s">
        <v>37</v>
      </c>
      <c r="B39" t="s">
        <v>240</v>
      </c>
      <c r="C39" t="s">
        <v>77</v>
      </c>
      <c r="D39" s="1" t="s">
        <v>78</v>
      </c>
      <c r="E39" s="2" t="s">
        <v>79</v>
      </c>
      <c r="F39" t="s">
        <v>40</v>
      </c>
      <c r="G39" t="s">
        <v>41</v>
      </c>
      <c r="H39" s="15">
        <f>VLOOKUP(D39,yahooData!A:F,3,FALSE)</f>
        <v>40462</v>
      </c>
      <c r="K39" s="13" t="s">
        <v>3</v>
      </c>
    </row>
    <row r="40" spans="1:11" x14ac:dyDescent="0.3">
      <c r="A40" t="s">
        <v>37</v>
      </c>
      <c r="B40" t="s">
        <v>240</v>
      </c>
      <c r="C40" t="s">
        <v>86</v>
      </c>
      <c r="D40" s="1" t="s">
        <v>87</v>
      </c>
      <c r="E40" s="2" t="s">
        <v>26</v>
      </c>
      <c r="F40" t="s">
        <v>40</v>
      </c>
      <c r="G40" t="s">
        <v>41</v>
      </c>
      <c r="H40" s="15">
        <f>VLOOKUP(D40,yahooData!A:F,3,FALSE)</f>
        <v>40462</v>
      </c>
      <c r="I40" s="13" t="s">
        <v>3</v>
      </c>
      <c r="K40" s="13" t="s">
        <v>3</v>
      </c>
    </row>
    <row r="41" spans="1:11" hidden="1" x14ac:dyDescent="0.3">
      <c r="A41" t="s">
        <v>88</v>
      </c>
      <c r="B41" t="s">
        <v>19</v>
      </c>
      <c r="C41" t="s">
        <v>89</v>
      </c>
      <c r="D41" t="s">
        <v>90</v>
      </c>
      <c r="E41" t="s">
        <v>91</v>
      </c>
      <c r="F41" t="s">
        <v>40</v>
      </c>
      <c r="G41" t="s">
        <v>92</v>
      </c>
      <c r="H41" s="15">
        <f>VLOOKUP(D41,yahooData!A:F,3,FALSE)</f>
        <v>43087</v>
      </c>
    </row>
    <row r="42" spans="1:11" hidden="1" x14ac:dyDescent="0.3">
      <c r="A42" t="s">
        <v>37</v>
      </c>
      <c r="B42" t="s">
        <v>19</v>
      </c>
      <c r="C42" t="s">
        <v>89</v>
      </c>
      <c r="D42" t="s">
        <v>93</v>
      </c>
      <c r="E42" t="s">
        <v>94</v>
      </c>
      <c r="F42" t="s">
        <v>40</v>
      </c>
      <c r="G42" t="s">
        <v>41</v>
      </c>
      <c r="H42" s="15">
        <f>VLOOKUP(D42,yahooData!A:F,3,FALSE)</f>
        <v>44489</v>
      </c>
    </row>
    <row r="43" spans="1:11" hidden="1" x14ac:dyDescent="0.3">
      <c r="A43" t="s">
        <v>88</v>
      </c>
      <c r="B43" t="s">
        <v>19</v>
      </c>
      <c r="C43" t="s">
        <v>95</v>
      </c>
      <c r="D43" t="s">
        <v>96</v>
      </c>
      <c r="E43" t="s">
        <v>95</v>
      </c>
      <c r="F43" t="s">
        <v>40</v>
      </c>
      <c r="G43" t="s">
        <v>92</v>
      </c>
      <c r="H43" s="15">
        <f>VLOOKUP(D43,yahooData!A:F,3,FALSE)</f>
        <v>44232</v>
      </c>
    </row>
    <row r="44" spans="1:11" hidden="1" x14ac:dyDescent="0.3">
      <c r="A44" t="s">
        <v>37</v>
      </c>
      <c r="B44" t="s">
        <v>19</v>
      </c>
      <c r="C44" t="s">
        <v>89</v>
      </c>
      <c r="D44" t="s">
        <v>97</v>
      </c>
      <c r="E44" t="s">
        <v>20</v>
      </c>
      <c r="F44" t="s">
        <v>40</v>
      </c>
      <c r="G44" t="s">
        <v>45</v>
      </c>
      <c r="H44" s="15">
        <f>VLOOKUP(D44,yahooData!A:F,3,FALSE)</f>
        <v>45302</v>
      </c>
      <c r="I44" s="13" t="s">
        <v>3</v>
      </c>
    </row>
    <row r="45" spans="1:11" x14ac:dyDescent="0.3">
      <c r="A45" t="s">
        <v>37</v>
      </c>
      <c r="B45" t="s">
        <v>240</v>
      </c>
      <c r="C45" t="s">
        <v>164</v>
      </c>
      <c r="D45" s="3" t="s">
        <v>165</v>
      </c>
      <c r="E45" s="17" t="s">
        <v>166</v>
      </c>
      <c r="F45" t="s">
        <v>40</v>
      </c>
      <c r="G45" t="s">
        <v>45</v>
      </c>
      <c r="H45" s="15">
        <f>VLOOKUP(D45,yahooData!A:F,3,FALSE)</f>
        <v>40462</v>
      </c>
      <c r="K45" s="13" t="s">
        <v>3</v>
      </c>
    </row>
    <row r="46" spans="1:11" x14ac:dyDescent="0.3">
      <c r="A46" t="s">
        <v>37</v>
      </c>
      <c r="B46" t="s">
        <v>240</v>
      </c>
      <c r="C46" t="s">
        <v>169</v>
      </c>
      <c r="D46" s="1" t="s">
        <v>170</v>
      </c>
      <c r="E46" s="3" t="s">
        <v>171</v>
      </c>
      <c r="F46" t="s">
        <v>40</v>
      </c>
      <c r="G46" t="s">
        <v>41</v>
      </c>
      <c r="H46" s="15">
        <f>VLOOKUP(D46,yahooData!A:F,3,FALSE)</f>
        <v>40462</v>
      </c>
      <c r="K46" s="13" t="s">
        <v>3</v>
      </c>
    </row>
    <row r="47" spans="1:11" x14ac:dyDescent="0.3">
      <c r="A47" t="s">
        <v>37</v>
      </c>
      <c r="B47" t="s">
        <v>240</v>
      </c>
      <c r="C47" t="s">
        <v>172</v>
      </c>
      <c r="D47" s="1" t="s">
        <v>173</v>
      </c>
      <c r="E47" s="3" t="s">
        <v>174</v>
      </c>
      <c r="F47" t="s">
        <v>40</v>
      </c>
      <c r="G47" t="s">
        <v>41</v>
      </c>
      <c r="H47" s="15">
        <f>VLOOKUP(D47,yahooData!A:F,3,FALSE)</f>
        <v>40462</v>
      </c>
      <c r="K47" s="13" t="s">
        <v>3</v>
      </c>
    </row>
    <row r="48" spans="1:11" hidden="1" x14ac:dyDescent="0.3">
      <c r="A48" t="s">
        <v>37</v>
      </c>
      <c r="B48" t="s">
        <v>240</v>
      </c>
      <c r="C48" s="1" t="s">
        <v>49</v>
      </c>
      <c r="D48" t="s">
        <v>50</v>
      </c>
      <c r="E48" s="1" t="s">
        <v>51</v>
      </c>
      <c r="F48" t="s">
        <v>52</v>
      </c>
      <c r="G48" s="1" t="s">
        <v>53</v>
      </c>
      <c r="H48" s="15">
        <f>VLOOKUP(D48,yahooData!A:F,3,FALSE)</f>
        <v>41606</v>
      </c>
      <c r="K48"/>
    </row>
    <row r="49" spans="1:11" hidden="1" x14ac:dyDescent="0.3">
      <c r="A49" t="s">
        <v>37</v>
      </c>
      <c r="B49" t="s">
        <v>240</v>
      </c>
      <c r="C49" s="1" t="s">
        <v>54</v>
      </c>
      <c r="D49" t="s">
        <v>55</v>
      </c>
      <c r="E49" s="1" t="s">
        <v>56</v>
      </c>
      <c r="F49" t="s">
        <v>52</v>
      </c>
      <c r="G49" s="1" t="s">
        <v>53</v>
      </c>
      <c r="H49" s="15">
        <f>VLOOKUP(D49,yahooData!A:F,3,FALSE)</f>
        <v>41578</v>
      </c>
      <c r="I49" s="14" t="s">
        <v>3</v>
      </c>
      <c r="K49"/>
    </row>
    <row r="50" spans="1:11" hidden="1" x14ac:dyDescent="0.3">
      <c r="A50" t="s">
        <v>37</v>
      </c>
      <c r="B50" t="s">
        <v>240</v>
      </c>
      <c r="C50" t="s">
        <v>57</v>
      </c>
      <c r="D50" s="1" t="s">
        <v>58</v>
      </c>
      <c r="E50" s="1" t="s">
        <v>59</v>
      </c>
      <c r="F50" t="s">
        <v>60</v>
      </c>
      <c r="G50" t="s">
        <v>61</v>
      </c>
      <c r="H50" s="15">
        <f>VLOOKUP(D50,yahooData!A:F,3,FALSE)</f>
        <v>40462</v>
      </c>
      <c r="I50" s="13" t="s">
        <v>3</v>
      </c>
    </row>
    <row r="51" spans="1:11" hidden="1" x14ac:dyDescent="0.3">
      <c r="A51" t="s">
        <v>37</v>
      </c>
      <c r="B51" t="s">
        <v>240</v>
      </c>
      <c r="C51" t="s">
        <v>62</v>
      </c>
      <c r="D51" s="1" t="s">
        <v>63</v>
      </c>
      <c r="E51" s="1" t="s">
        <v>64</v>
      </c>
      <c r="F51" t="s">
        <v>60</v>
      </c>
      <c r="G51" t="s">
        <v>61</v>
      </c>
      <c r="H51" s="15">
        <f>VLOOKUP(D51,yahooData!A:F,3,FALSE)</f>
        <v>40462</v>
      </c>
    </row>
    <row r="52" spans="1:11" hidden="1" x14ac:dyDescent="0.3">
      <c r="A52" t="s">
        <v>37</v>
      </c>
      <c r="B52" t="s">
        <v>240</v>
      </c>
      <c r="C52" t="s">
        <v>65</v>
      </c>
      <c r="D52" s="1" t="s">
        <v>65</v>
      </c>
      <c r="E52" s="1" t="s">
        <v>66</v>
      </c>
      <c r="F52" t="s">
        <v>40</v>
      </c>
      <c r="G52" t="s">
        <v>45</v>
      </c>
      <c r="H52" s="15">
        <f>VLOOKUP(D52,yahooData!A:F,3,FALSE)</f>
        <v>41935</v>
      </c>
      <c r="I52" s="13" t="s">
        <v>3</v>
      </c>
    </row>
    <row r="53" spans="1:11" hidden="1" x14ac:dyDescent="0.3">
      <c r="A53" t="s">
        <v>37</v>
      </c>
      <c r="B53" t="s">
        <v>240</v>
      </c>
      <c r="C53" t="s">
        <v>67</v>
      </c>
      <c r="D53" s="1" t="s">
        <v>68</v>
      </c>
      <c r="E53" s="1" t="s">
        <v>69</v>
      </c>
      <c r="F53" t="s">
        <v>70</v>
      </c>
      <c r="G53" t="s">
        <v>71</v>
      </c>
      <c r="H53" s="15">
        <f>VLOOKUP(D53,yahooData!A:F,3,FALSE)</f>
        <v>40519</v>
      </c>
      <c r="I53" s="13" t="s">
        <v>3</v>
      </c>
    </row>
    <row r="54" spans="1:11" hidden="1" x14ac:dyDescent="0.3">
      <c r="A54" t="s">
        <v>37</v>
      </c>
      <c r="B54" t="s">
        <v>240</v>
      </c>
      <c r="C54" t="s">
        <v>72</v>
      </c>
      <c r="D54" s="1" t="s">
        <v>73</v>
      </c>
      <c r="E54" s="1" t="s">
        <v>74</v>
      </c>
      <c r="F54" t="s">
        <v>70</v>
      </c>
      <c r="G54" t="s">
        <v>71</v>
      </c>
      <c r="H54" s="15">
        <f>VLOOKUP(D54,yahooData!A:F,3,FALSE)</f>
        <v>40462</v>
      </c>
    </row>
    <row r="55" spans="1:11" ht="15" hidden="1" thickBot="1" x14ac:dyDescent="0.35">
      <c r="A55" t="s">
        <v>37</v>
      </c>
      <c r="B55" t="s">
        <v>240</v>
      </c>
      <c r="C55" t="s">
        <v>65</v>
      </c>
      <c r="D55" t="s">
        <v>75</v>
      </c>
      <c r="E55" s="19" t="s">
        <v>76</v>
      </c>
      <c r="F55" t="s">
        <v>60</v>
      </c>
      <c r="G55" t="s">
        <v>61</v>
      </c>
      <c r="H55" s="15">
        <f>VLOOKUP(D55,yahooData!A:F,3,FALSE)</f>
        <v>40462</v>
      </c>
    </row>
    <row r="56" spans="1:11" x14ac:dyDescent="0.3">
      <c r="A56" t="s">
        <v>37</v>
      </c>
      <c r="B56" t="s">
        <v>240</v>
      </c>
      <c r="C56" t="s">
        <v>175</v>
      </c>
      <c r="D56" s="1" t="s">
        <v>176</v>
      </c>
      <c r="E56" s="3" t="s">
        <v>23</v>
      </c>
      <c r="F56" t="s">
        <v>40</v>
      </c>
      <c r="G56" t="s">
        <v>41</v>
      </c>
      <c r="H56" s="15">
        <f>VLOOKUP(D56,yahooData!A:F,3,FALSE)</f>
        <v>40462</v>
      </c>
      <c r="J56" s="13" t="s">
        <v>3</v>
      </c>
      <c r="K56" s="13" t="s">
        <v>3</v>
      </c>
    </row>
    <row r="57" spans="1:11" hidden="1" x14ac:dyDescent="0.3">
      <c r="A57" t="s">
        <v>37</v>
      </c>
      <c r="B57" t="s">
        <v>240</v>
      </c>
      <c r="C57" t="s">
        <v>77</v>
      </c>
      <c r="D57" s="1" t="s">
        <v>80</v>
      </c>
      <c r="E57" s="2" t="s">
        <v>81</v>
      </c>
      <c r="F57" t="s">
        <v>40</v>
      </c>
      <c r="G57" t="s">
        <v>45</v>
      </c>
      <c r="H57" s="15">
        <f>VLOOKUP(D57,yahooData!A:F,3,FALSE)</f>
        <v>42942</v>
      </c>
      <c r="I57" s="13" t="s">
        <v>3</v>
      </c>
    </row>
    <row r="58" spans="1:11" hidden="1" x14ac:dyDescent="0.3">
      <c r="A58" t="s">
        <v>37</v>
      </c>
      <c r="B58" t="s">
        <v>240</v>
      </c>
      <c r="C58" t="s">
        <v>82</v>
      </c>
      <c r="D58" s="1" t="s">
        <v>83</v>
      </c>
      <c r="E58" s="2" t="s">
        <v>84</v>
      </c>
      <c r="F58" t="s">
        <v>60</v>
      </c>
      <c r="G58" t="s">
        <v>85</v>
      </c>
      <c r="H58" s="15">
        <f>VLOOKUP(D58,yahooData!A:F,3,FALSE)</f>
        <v>43447</v>
      </c>
      <c r="K58"/>
    </row>
    <row r="59" spans="1:11" x14ac:dyDescent="0.3">
      <c r="A59" t="s">
        <v>37</v>
      </c>
      <c r="B59" t="s">
        <v>240</v>
      </c>
      <c r="C59" t="s">
        <v>177</v>
      </c>
      <c r="D59" s="1" t="s">
        <v>178</v>
      </c>
      <c r="E59" s="22" t="s">
        <v>179</v>
      </c>
      <c r="F59" t="s">
        <v>40</v>
      </c>
      <c r="G59" t="s">
        <v>106</v>
      </c>
      <c r="H59" s="15">
        <f>VLOOKUP(D59,yahooData!A:F,3,FALSE)</f>
        <v>40462</v>
      </c>
      <c r="K59" s="13" t="s">
        <v>3</v>
      </c>
    </row>
    <row r="60" spans="1:11" x14ac:dyDescent="0.3">
      <c r="A60" t="s">
        <v>37</v>
      </c>
      <c r="B60" t="s">
        <v>240</v>
      </c>
      <c r="C60" t="s">
        <v>180</v>
      </c>
      <c r="D60" s="1" t="s">
        <v>181</v>
      </c>
      <c r="E60" s="22" t="s">
        <v>182</v>
      </c>
      <c r="F60" t="s">
        <v>40</v>
      </c>
      <c r="G60" t="s">
        <v>41</v>
      </c>
      <c r="H60" s="15">
        <f>VLOOKUP(D60,yahooData!A:F,3,FALSE)</f>
        <v>40605</v>
      </c>
      <c r="K60" s="13" t="s">
        <v>3</v>
      </c>
    </row>
    <row r="61" spans="1:11" hidden="1" x14ac:dyDescent="0.3">
      <c r="A61" t="s">
        <v>37</v>
      </c>
      <c r="B61" t="s">
        <v>240</v>
      </c>
      <c r="C61" t="s">
        <v>167</v>
      </c>
      <c r="D61" s="1" t="s">
        <v>168</v>
      </c>
      <c r="E61" s="3" t="s">
        <v>27</v>
      </c>
      <c r="F61" t="s">
        <v>40</v>
      </c>
      <c r="G61" t="s">
        <v>41</v>
      </c>
      <c r="H61" s="15">
        <f>VLOOKUP(D61,yahooData!A:F,3,FALSE)</f>
        <v>42264</v>
      </c>
    </row>
    <row r="62" spans="1:11" x14ac:dyDescent="0.3">
      <c r="A62" t="s">
        <v>37</v>
      </c>
      <c r="B62" t="s">
        <v>240</v>
      </c>
      <c r="C62" t="s">
        <v>183</v>
      </c>
      <c r="D62" s="1" t="s">
        <v>184</v>
      </c>
      <c r="E62" s="22" t="s">
        <v>185</v>
      </c>
      <c r="F62" t="s">
        <v>40</v>
      </c>
      <c r="G62" t="s">
        <v>41</v>
      </c>
      <c r="H62" s="15">
        <f>VLOOKUP(D62,yahooData!A:F,3,FALSE)</f>
        <v>40462</v>
      </c>
      <c r="K62" s="13" t="s">
        <v>3</v>
      </c>
    </row>
    <row r="63" spans="1:11" x14ac:dyDescent="0.3">
      <c r="A63" t="s">
        <v>37</v>
      </c>
      <c r="B63" t="s">
        <v>240</v>
      </c>
      <c r="C63" t="s">
        <v>186</v>
      </c>
      <c r="D63" s="1" t="s">
        <v>187</v>
      </c>
      <c r="E63" s="22" t="s">
        <v>188</v>
      </c>
      <c r="F63" t="s">
        <v>40</v>
      </c>
      <c r="G63" t="s">
        <v>45</v>
      </c>
      <c r="H63" s="15">
        <f>VLOOKUP(D63,yahooData!A:F,3,FALSE)</f>
        <v>40462</v>
      </c>
      <c r="K63" s="13" t="s">
        <v>3</v>
      </c>
    </row>
    <row r="64" spans="1:11" ht="15" thickBot="1" x14ac:dyDescent="0.35">
      <c r="A64" t="s">
        <v>37</v>
      </c>
      <c r="B64" t="s">
        <v>240</v>
      </c>
      <c r="C64" t="s">
        <v>189</v>
      </c>
      <c r="D64" s="1" t="s">
        <v>190</v>
      </c>
      <c r="E64" t="s">
        <v>25</v>
      </c>
      <c r="F64" t="s">
        <v>40</v>
      </c>
      <c r="G64" t="s">
        <v>106</v>
      </c>
      <c r="H64" s="15">
        <f>VLOOKUP(D64,yahooData!A:F,3,FALSE)</f>
        <v>40942</v>
      </c>
      <c r="J64" s="13" t="s">
        <v>3</v>
      </c>
      <c r="K64" s="13" t="s">
        <v>3</v>
      </c>
    </row>
    <row r="65" spans="1:11" ht="15" thickBot="1" x14ac:dyDescent="0.35">
      <c r="A65" t="s">
        <v>37</v>
      </c>
      <c r="B65" t="s">
        <v>240</v>
      </c>
      <c r="C65" t="s">
        <v>191</v>
      </c>
      <c r="D65" s="1" t="s">
        <v>192</v>
      </c>
      <c r="E65" s="8" t="s">
        <v>24</v>
      </c>
      <c r="F65" t="s">
        <v>40</v>
      </c>
      <c r="G65" t="s">
        <v>45</v>
      </c>
      <c r="H65" s="15">
        <f>VLOOKUP(D65,yahooData!A:F,3,FALSE)</f>
        <v>40633</v>
      </c>
      <c r="J65" s="13" t="s">
        <v>3</v>
      </c>
      <c r="K65" s="13" t="s">
        <v>3</v>
      </c>
    </row>
    <row r="66" spans="1:11" ht="15" thickBot="1" x14ac:dyDescent="0.35">
      <c r="A66" t="s">
        <v>37</v>
      </c>
      <c r="B66" t="s">
        <v>240</v>
      </c>
      <c r="C66" t="s">
        <v>193</v>
      </c>
      <c r="D66" s="9" t="s">
        <v>194</v>
      </c>
      <c r="E66" s="10" t="s">
        <v>195</v>
      </c>
      <c r="F66" t="s">
        <v>40</v>
      </c>
      <c r="G66" t="s">
        <v>41</v>
      </c>
      <c r="H66" s="15">
        <f>VLOOKUP(D66,yahooData!A:F,3,FALSE)</f>
        <v>40462</v>
      </c>
      <c r="K66" s="13" t="s">
        <v>3</v>
      </c>
    </row>
    <row r="67" spans="1:11" ht="15" thickBot="1" x14ac:dyDescent="0.35">
      <c r="A67" t="s">
        <v>37</v>
      </c>
      <c r="B67" t="s">
        <v>240</v>
      </c>
      <c r="C67" t="s">
        <v>196</v>
      </c>
      <c r="D67" s="11" t="s">
        <v>197</v>
      </c>
      <c r="E67" s="8" t="s">
        <v>198</v>
      </c>
      <c r="F67" t="s">
        <v>40</v>
      </c>
      <c r="H67" s="15">
        <f>VLOOKUP(D67,yahooData!A:F,3,FALSE)</f>
        <v>40462</v>
      </c>
      <c r="K67" s="13" t="s">
        <v>3</v>
      </c>
    </row>
    <row r="68" spans="1:11" ht="15" thickBot="1" x14ac:dyDescent="0.35">
      <c r="A68" t="s">
        <v>37</v>
      </c>
      <c r="B68" t="s">
        <v>240</v>
      </c>
      <c r="C68" t="s">
        <v>201</v>
      </c>
      <c r="D68" s="11" t="s">
        <v>202</v>
      </c>
      <c r="E68" s="8" t="s">
        <v>203</v>
      </c>
      <c r="F68" t="s">
        <v>40</v>
      </c>
      <c r="H68" s="15">
        <f>VLOOKUP(D68,yahooData!A:F,3,FALSE)</f>
        <v>40462</v>
      </c>
      <c r="K68" s="13" t="s">
        <v>3</v>
      </c>
    </row>
    <row r="69" spans="1:11" ht="15" thickBot="1" x14ac:dyDescent="0.35">
      <c r="A69" t="s">
        <v>37</v>
      </c>
      <c r="B69" t="s">
        <v>240</v>
      </c>
      <c r="C69" t="s">
        <v>204</v>
      </c>
      <c r="D69" s="11" t="s">
        <v>205</v>
      </c>
      <c r="E69" s="8" t="s">
        <v>206</v>
      </c>
      <c r="F69" t="s">
        <v>40</v>
      </c>
      <c r="H69" s="15">
        <f>VLOOKUP(D69,yahooData!A:F,3,FALSE)</f>
        <v>40462</v>
      </c>
      <c r="K69" s="13" t="s">
        <v>3</v>
      </c>
    </row>
    <row r="70" spans="1:11" ht="15" thickBot="1" x14ac:dyDescent="0.35">
      <c r="A70" t="s">
        <v>37</v>
      </c>
      <c r="B70" t="s">
        <v>240</v>
      </c>
      <c r="C70" t="s">
        <v>193</v>
      </c>
      <c r="D70" s="12" t="s">
        <v>207</v>
      </c>
      <c r="E70" s="7" t="s">
        <v>22</v>
      </c>
      <c r="F70" t="s">
        <v>40</v>
      </c>
      <c r="H70" s="15">
        <f>VLOOKUP(D70,yahooData!A:F,3,FALSE)</f>
        <v>40462</v>
      </c>
      <c r="J70" s="13" t="s">
        <v>3</v>
      </c>
      <c r="K70" s="13" t="s">
        <v>3</v>
      </c>
    </row>
    <row r="71" spans="1:11" ht="15" thickBot="1" x14ac:dyDescent="0.35">
      <c r="A71" t="s">
        <v>37</v>
      </c>
      <c r="B71" t="s">
        <v>240</v>
      </c>
      <c r="C71" t="s">
        <v>208</v>
      </c>
      <c r="D71" s="11" t="s">
        <v>209</v>
      </c>
      <c r="E71" s="8" t="s">
        <v>210</v>
      </c>
      <c r="F71" t="s">
        <v>40</v>
      </c>
      <c r="H71" s="15">
        <f>VLOOKUP(D71,yahooData!A:F,3,FALSE)</f>
        <v>40462</v>
      </c>
      <c r="K71" s="13" t="s">
        <v>3</v>
      </c>
    </row>
    <row r="72" spans="1:11" ht="15" thickBot="1" x14ac:dyDescent="0.35">
      <c r="A72" t="s">
        <v>37</v>
      </c>
      <c r="B72" t="s">
        <v>240</v>
      </c>
      <c r="C72" t="s">
        <v>211</v>
      </c>
      <c r="D72" s="11" t="s">
        <v>212</v>
      </c>
      <c r="E72" s="8" t="s">
        <v>213</v>
      </c>
      <c r="F72" t="s">
        <v>40</v>
      </c>
      <c r="H72" s="15">
        <f>VLOOKUP(D72,yahooData!A:F,3,FALSE)</f>
        <v>40462</v>
      </c>
      <c r="K72" s="13" t="s">
        <v>3</v>
      </c>
    </row>
    <row r="73" spans="1:11" ht="15" hidden="1" thickBot="1" x14ac:dyDescent="0.35">
      <c r="A73" t="s">
        <v>37</v>
      </c>
      <c r="B73" t="s">
        <v>240</v>
      </c>
      <c r="C73" t="s">
        <v>193</v>
      </c>
      <c r="D73" s="12" t="s">
        <v>199</v>
      </c>
      <c r="E73" s="7" t="s">
        <v>200</v>
      </c>
      <c r="F73" t="s">
        <v>40</v>
      </c>
      <c r="H73" s="15">
        <f>VLOOKUP(D73,yahooData!A:F,3,FALSE)</f>
        <v>41802</v>
      </c>
    </row>
    <row r="74" spans="1:11" ht="15" thickBot="1" x14ac:dyDescent="0.35">
      <c r="A74" t="s">
        <v>37</v>
      </c>
      <c r="B74" t="s">
        <v>240</v>
      </c>
      <c r="C74" t="s">
        <v>216</v>
      </c>
      <c r="D74" s="11" t="s">
        <v>217</v>
      </c>
      <c r="E74" s="8" t="s">
        <v>218</v>
      </c>
      <c r="F74" t="s">
        <v>40</v>
      </c>
      <c r="H74" s="15">
        <f>VLOOKUP(D74,yahooData!A:F,3,FALSE)</f>
        <v>40462</v>
      </c>
      <c r="K74" s="13" t="s">
        <v>3</v>
      </c>
    </row>
    <row r="75" spans="1:11" ht="15" thickBot="1" x14ac:dyDescent="0.35">
      <c r="A75" t="s">
        <v>37</v>
      </c>
      <c r="B75" t="s">
        <v>240</v>
      </c>
      <c r="C75" t="s">
        <v>219</v>
      </c>
      <c r="D75" s="12" t="s">
        <v>220</v>
      </c>
      <c r="E75" s="7" t="s">
        <v>221</v>
      </c>
      <c r="F75" t="s">
        <v>40</v>
      </c>
      <c r="H75" s="15">
        <f>VLOOKUP(D75,yahooData!A:F,3,FALSE)</f>
        <v>40462</v>
      </c>
      <c r="K75" s="13" t="s">
        <v>3</v>
      </c>
    </row>
    <row r="76" spans="1:11" ht="15" thickBot="1" x14ac:dyDescent="0.35">
      <c r="A76" t="s">
        <v>37</v>
      </c>
      <c r="B76" t="s">
        <v>240</v>
      </c>
      <c r="C76" t="s">
        <v>222</v>
      </c>
      <c r="D76" s="11" t="s">
        <v>223</v>
      </c>
      <c r="E76" s="8" t="s">
        <v>224</v>
      </c>
      <c r="F76" t="s">
        <v>40</v>
      </c>
      <c r="H76" s="15">
        <f>VLOOKUP(D76,yahooData!A:F,3,FALSE)</f>
        <v>40462</v>
      </c>
      <c r="K76" s="13" t="s">
        <v>3</v>
      </c>
    </row>
    <row r="77" spans="1:11" ht="15" thickBot="1" x14ac:dyDescent="0.35">
      <c r="A77" t="s">
        <v>37</v>
      </c>
      <c r="B77" t="s">
        <v>240</v>
      </c>
      <c r="C77" t="s">
        <v>225</v>
      </c>
      <c r="D77" s="12" t="s">
        <v>226</v>
      </c>
      <c r="E77" s="7" t="s">
        <v>227</v>
      </c>
      <c r="F77" t="s">
        <v>40</v>
      </c>
      <c r="H77" s="15">
        <f>VLOOKUP(D77,yahooData!A:F,3,FALSE)</f>
        <v>40885</v>
      </c>
      <c r="K77" s="13" t="s">
        <v>3</v>
      </c>
    </row>
    <row r="78" spans="1:11" ht="15" thickBot="1" x14ac:dyDescent="0.35">
      <c r="A78" t="s">
        <v>37</v>
      </c>
      <c r="B78" t="s">
        <v>240</v>
      </c>
      <c r="C78" t="s">
        <v>228</v>
      </c>
      <c r="D78" s="11" t="s">
        <v>229</v>
      </c>
      <c r="E78" s="8" t="s">
        <v>230</v>
      </c>
      <c r="F78" t="s">
        <v>40</v>
      </c>
      <c r="H78" s="15">
        <f>VLOOKUP(D78,yahooData!A:F,3,FALSE)</f>
        <v>40462</v>
      </c>
      <c r="K78" s="13" t="s">
        <v>3</v>
      </c>
    </row>
    <row r="79" spans="1:11" ht="15" hidden="1" thickBot="1" x14ac:dyDescent="0.35">
      <c r="A79" t="s">
        <v>37</v>
      </c>
      <c r="B79" t="s">
        <v>240</v>
      </c>
      <c r="C79" t="s">
        <v>204</v>
      </c>
      <c r="D79" s="11" t="s">
        <v>214</v>
      </c>
      <c r="E79" s="8" t="s">
        <v>215</v>
      </c>
      <c r="F79" t="s">
        <v>40</v>
      </c>
      <c r="H79" s="15">
        <f>VLOOKUP(D79,yahooData!A:F,3,FALSE)</f>
        <v>43045</v>
      </c>
    </row>
    <row r="80" spans="1:11" ht="15" thickBot="1" x14ac:dyDescent="0.35">
      <c r="A80" t="s">
        <v>37</v>
      </c>
      <c r="B80" t="s">
        <v>240</v>
      </c>
      <c r="C80" t="s">
        <v>86</v>
      </c>
      <c r="D80" s="12" t="s">
        <v>87</v>
      </c>
      <c r="E80" s="7" t="s">
        <v>26</v>
      </c>
      <c r="F80" t="s">
        <v>40</v>
      </c>
      <c r="H80" s="15">
        <f>VLOOKUP(D80,yahooData!A:F,3,FALSE)</f>
        <v>40462</v>
      </c>
      <c r="J80" s="13" t="s">
        <v>3</v>
      </c>
      <c r="K80" s="13" t="s">
        <v>3</v>
      </c>
    </row>
    <row r="81" spans="1:11" ht="15" thickBot="1" x14ac:dyDescent="0.35">
      <c r="A81" t="s">
        <v>37</v>
      </c>
      <c r="B81" t="s">
        <v>240</v>
      </c>
      <c r="C81" t="s">
        <v>232</v>
      </c>
      <c r="D81" s="21" t="s">
        <v>233</v>
      </c>
      <c r="E81" s="23" t="s">
        <v>234</v>
      </c>
      <c r="F81" t="s">
        <v>40</v>
      </c>
      <c r="H81" s="15">
        <f>VLOOKUP(D81,yahooData!A:F,3,FALSE)</f>
        <v>40462</v>
      </c>
      <c r="K81" s="13" t="s">
        <v>3</v>
      </c>
    </row>
    <row r="82" spans="1:11" ht="15" thickBot="1" x14ac:dyDescent="0.35">
      <c r="A82" t="s">
        <v>37</v>
      </c>
      <c r="B82" t="s">
        <v>240</v>
      </c>
      <c r="C82" t="s">
        <v>235</v>
      </c>
      <c r="D82" s="12" t="s">
        <v>236</v>
      </c>
      <c r="E82" s="7" t="s">
        <v>237</v>
      </c>
      <c r="F82" t="s">
        <v>40</v>
      </c>
      <c r="H82" s="15">
        <f>VLOOKUP(D82,yahooData!A:F,3,FALSE)</f>
        <v>40462</v>
      </c>
      <c r="K82" s="13" t="s">
        <v>3</v>
      </c>
    </row>
    <row r="83" spans="1:11" ht="15" thickBot="1" x14ac:dyDescent="0.35">
      <c r="A83" t="s">
        <v>37</v>
      </c>
      <c r="B83" t="s">
        <v>240</v>
      </c>
      <c r="C83" t="s">
        <v>238</v>
      </c>
      <c r="D83" s="11" t="s">
        <v>239</v>
      </c>
      <c r="E83" s="8" t="s">
        <v>28</v>
      </c>
      <c r="F83" t="s">
        <v>40</v>
      </c>
      <c r="H83" s="15">
        <f>VLOOKUP(D83,yahooData!A:F,3,FALSE)</f>
        <v>40462</v>
      </c>
      <c r="J83" s="13" t="s">
        <v>3</v>
      </c>
      <c r="K83" s="13" t="s">
        <v>3</v>
      </c>
    </row>
    <row r="84" spans="1:11" ht="15" thickBot="1" x14ac:dyDescent="0.35">
      <c r="A84" t="s">
        <v>37</v>
      </c>
      <c r="B84" t="s">
        <v>112</v>
      </c>
      <c r="C84" t="s">
        <v>98</v>
      </c>
      <c r="D84" s="18" t="s">
        <v>99</v>
      </c>
      <c r="E84" s="20" t="s">
        <v>16</v>
      </c>
      <c r="F84" t="s">
        <v>40</v>
      </c>
      <c r="G84" t="s">
        <v>41</v>
      </c>
      <c r="H84" s="15">
        <f>VLOOKUP(D84,yahooData!A:F,3,FALSE)</f>
        <v>40462</v>
      </c>
      <c r="I84" s="13" t="s">
        <v>3</v>
      </c>
      <c r="J84" s="13" t="s">
        <v>3</v>
      </c>
      <c r="K84" s="13" t="s">
        <v>3</v>
      </c>
    </row>
    <row r="85" spans="1:11" hidden="1" x14ac:dyDescent="0.3">
      <c r="A85" t="s">
        <v>37</v>
      </c>
      <c r="B85" t="s">
        <v>240</v>
      </c>
      <c r="C85" t="s">
        <v>208</v>
      </c>
      <c r="D85" s="17" t="s">
        <v>65</v>
      </c>
      <c r="E85" s="17" t="s">
        <v>231</v>
      </c>
      <c r="F85" t="s">
        <v>40</v>
      </c>
      <c r="H85" s="15">
        <f>VLOOKUP(D85,yahooData!A:F,3,FALSE)</f>
        <v>41935</v>
      </c>
    </row>
    <row r="86" spans="1:11" x14ac:dyDescent="0.3">
      <c r="A86" t="s">
        <v>37</v>
      </c>
      <c r="B86" t="s">
        <v>112</v>
      </c>
      <c r="C86" t="s">
        <v>100</v>
      </c>
      <c r="D86" s="1" t="s">
        <v>101</v>
      </c>
      <c r="E86" t="s">
        <v>14</v>
      </c>
      <c r="F86" t="s">
        <v>40</v>
      </c>
      <c r="G86" t="s">
        <v>41</v>
      </c>
      <c r="H86" s="15">
        <f>VLOOKUP(D86,yahooData!A:F,3,FALSE)</f>
        <v>40462</v>
      </c>
      <c r="I86" s="13" t="s">
        <v>3</v>
      </c>
      <c r="J86" s="13" t="s">
        <v>3</v>
      </c>
      <c r="K86" s="13" t="s">
        <v>3</v>
      </c>
    </row>
    <row r="87" spans="1:11" hidden="1" x14ac:dyDescent="0.3">
      <c r="A87" t="s">
        <v>88</v>
      </c>
      <c r="B87" t="s">
        <v>112</v>
      </c>
      <c r="C87" t="s">
        <v>98</v>
      </c>
      <c r="D87" s="1" t="s">
        <v>102</v>
      </c>
      <c r="E87" t="s">
        <v>98</v>
      </c>
      <c r="F87" t="s">
        <v>40</v>
      </c>
      <c r="G87" t="s">
        <v>103</v>
      </c>
      <c r="H87" s="15">
        <f>VLOOKUP(D87,yahooData!A:F,3,FALSE)</f>
        <v>40462</v>
      </c>
      <c r="K87" s="13" t="s">
        <v>3</v>
      </c>
    </row>
    <row r="88" spans="1:11" x14ac:dyDescent="0.3">
      <c r="A88" t="s">
        <v>37</v>
      </c>
      <c r="B88" t="s">
        <v>112</v>
      </c>
      <c r="C88" t="s">
        <v>112</v>
      </c>
      <c r="D88" t="s">
        <v>113</v>
      </c>
      <c r="E88" t="s">
        <v>13</v>
      </c>
      <c r="F88" t="s">
        <v>40</v>
      </c>
      <c r="G88" t="s">
        <v>41</v>
      </c>
      <c r="H88" s="15">
        <f>VLOOKUP(D88,yahooData!A:F,3,FALSE)</f>
        <v>40462</v>
      </c>
      <c r="I88" s="13" t="s">
        <v>3</v>
      </c>
      <c r="J88" s="13" t="s">
        <v>3</v>
      </c>
      <c r="K88" s="13" t="s">
        <v>3</v>
      </c>
    </row>
    <row r="89" spans="1:11" x14ac:dyDescent="0.3">
      <c r="A89" t="s">
        <v>37</v>
      </c>
      <c r="B89" t="s">
        <v>112</v>
      </c>
      <c r="C89" t="s">
        <v>114</v>
      </c>
      <c r="D89" t="s">
        <v>115</v>
      </c>
      <c r="E89" t="s">
        <v>18</v>
      </c>
      <c r="F89" t="s">
        <v>40</v>
      </c>
      <c r="G89" t="s">
        <v>41</v>
      </c>
      <c r="H89" s="15">
        <f>VLOOKUP(D89,yahooData!A:F,3,FALSE)</f>
        <v>40862</v>
      </c>
      <c r="I89" s="13" t="s">
        <v>3</v>
      </c>
      <c r="J89" s="13" t="s">
        <v>3</v>
      </c>
      <c r="K89" s="13" t="s">
        <v>3</v>
      </c>
    </row>
  </sheetData>
  <autoFilter ref="A1:K89" xr:uid="{00000000-0001-0000-0000-000000000000}">
    <filterColumn colId="0">
      <filters>
        <filter val="ETF"/>
      </filters>
    </filterColumn>
    <filterColumn colId="5">
      <filters>
        <filter val="USD"/>
      </filters>
    </filterColumn>
    <filterColumn colId="7">
      <filters blank="1">
        <dateGroupItem year="2012" dateTimeGrouping="year"/>
        <dateGroupItem year="2011" dateTimeGrouping="year"/>
        <dateGroupItem year="2010" dateTimeGrouping="year"/>
      </filters>
    </filterColumn>
    <sortState xmlns:xlrd2="http://schemas.microsoft.com/office/spreadsheetml/2017/richdata2" ref="A2:K89">
      <sortCondition ref="B1:B89"/>
    </sortState>
  </autoFilter>
  <hyperlinks>
    <hyperlink ref="D3" r:id="rId1" display="https://etfdb.com/etf/CANE/" xr:uid="{F15ACE05-DEA9-4192-A4D3-9118B2025B32}"/>
    <hyperlink ref="E3" r:id="rId2" display="https://etfdb.com/etf/CANE/" xr:uid="{8272E66E-CF55-497F-AB59-14A5F7D9CE56}"/>
    <hyperlink ref="E45" r:id="rId3" display="https://etfdb.com/etf/AIA/" xr:uid="{4A458C9C-066C-410C-A868-80AA02872714}"/>
    <hyperlink ref="E61" r:id="rId4" display="https://etfdb.com/etf/KSA/" xr:uid="{C018EFE3-5CE0-448A-B97B-1D91D9BE5216}"/>
    <hyperlink ref="E46" r:id="rId5" display="https://etfdb.com/etf/EWZ/" xr:uid="{73048CE3-7CD5-46B3-9220-857B7EFC0253}"/>
    <hyperlink ref="E47" r:id="rId6" display="https://etfdb.com/etf/EWW/" xr:uid="{2729C2FF-DC96-4EC5-AA3F-532552FD2B60}"/>
    <hyperlink ref="E56" r:id="rId7" display="https://etfdb.com/etf/ILF/" xr:uid="{B7ACC9A2-0B35-494D-95DF-F48C822EC9E5}"/>
    <hyperlink ref="E59" r:id="rId8" display="https://etfdb.com/etf/ECH/" xr:uid="{F56C3CF5-136D-405E-9E8B-709818C4EA40}"/>
    <hyperlink ref="E60" r:id="rId9" display="https://etfdb.com/etf/ARGT/" xr:uid="{096CA804-1A4F-4812-94A3-01D959D65C43}"/>
    <hyperlink ref="E62" r:id="rId10" display="https://etfdb.com/etf/EPOL/" xr:uid="{2745C08D-CABC-4824-A734-580BF4F4D06C}"/>
    <hyperlink ref="E63" r:id="rId11" display="https://etfdb.com/etf/TUR/" xr:uid="{8979ABEA-115D-423B-B00D-A1CD4C758C27}"/>
    <hyperlink ref="E65" r:id="rId12" display="https://etfdb.com/etf/MCHI/" xr:uid="{9A75A56B-94A6-49B1-895B-C2E87FF02380}"/>
    <hyperlink ref="D66" r:id="rId13" display="https://etfdb.com/etf/VGK/" xr:uid="{13EC284F-2533-49A3-B670-CF44FB8C1F5F}"/>
    <hyperlink ref="E66" r:id="rId14" display="https://etfdb.com/etf/VGK/" xr:uid="{04196D6E-E3E4-4A6C-BF0C-8BAAE5E45BE1}"/>
    <hyperlink ref="D67" r:id="rId15" display="https://etfdb.com/etf/EZU/" xr:uid="{A2891B8B-54FF-401D-8EF4-DD04D61169B1}"/>
    <hyperlink ref="E67" r:id="rId16" display="https://etfdb.com/etf/EZU/" xr:uid="{8C43B481-688B-44AA-B212-7F74DD6F0BDA}"/>
    <hyperlink ref="D73" r:id="rId17" display="https://etfdb.com/etf/IEUR/" xr:uid="{16036B56-8CE4-4782-BCC0-A7D2607B6873}"/>
    <hyperlink ref="E73" r:id="rId18" display="https://etfdb.com/etf/IEUR/" xr:uid="{2D52191E-68FD-421B-93A8-A62FB0A41327}"/>
    <hyperlink ref="D68" r:id="rId19" display="https://etfdb.com/etf/FEZ/" xr:uid="{0E06C75F-5B0D-41EC-944A-2DDABD6080F0}"/>
    <hyperlink ref="E68" r:id="rId20" display="https://etfdb.com/etf/FEZ/" xr:uid="{C1D70076-7E4F-49AF-8F91-A20BE7A5E7ED}"/>
    <hyperlink ref="D69" r:id="rId21" display="https://etfdb.com/etf/EWU/" xr:uid="{D322ADE9-4DE4-4A57-9911-632A465081F4}"/>
    <hyperlink ref="E69" r:id="rId22" display="https://etfdb.com/etf/EWU/" xr:uid="{B82602EA-180D-4ECE-9BA9-2E1397C9517C}"/>
    <hyperlink ref="D70" r:id="rId23" display="https://etfdb.com/etf/IEV/" xr:uid="{F6FF33AF-80AB-4F95-A0F9-1E9EF234D8F9}"/>
    <hyperlink ref="E70" r:id="rId24" display="https://etfdb.com/etf/IEV/" xr:uid="{9DA9EC01-A487-4722-886D-A51A1017DB2E}"/>
    <hyperlink ref="D71" r:id="rId25" display="https://etfdb.com/etf/EWG/" xr:uid="{1EBE577E-F6D7-4582-87D3-21E73E3DAE2A}"/>
    <hyperlink ref="E71" r:id="rId26" display="https://etfdb.com/etf/EWG/" xr:uid="{CF6F78FC-2DF2-4C4C-BD85-C17CB4451558}"/>
    <hyperlink ref="D72" r:id="rId27" display="https://etfdb.com/etf/EWL/" xr:uid="{6CAB09A4-F58B-4F37-A024-6D35AB934BC1}"/>
    <hyperlink ref="E72" r:id="rId28" display="https://etfdb.com/etf/EWL/" xr:uid="{F787371F-EA71-4539-9C08-284D803503A5}"/>
    <hyperlink ref="D79" r:id="rId29" display="https://etfdb.com/etf/FLGB/" xr:uid="{4D815D73-7F72-4B91-878A-E78281B959A3}"/>
    <hyperlink ref="E79" r:id="rId30" display="https://etfdb.com/etf/FLGB/" xr:uid="{95DF2333-ACF8-458B-9839-F68459495DDA}"/>
    <hyperlink ref="D74" r:id="rId31" display="https://etfdb.com/etf/EWI/" xr:uid="{A0B85D91-71EA-4E6F-9059-1FBD97EC9080}"/>
    <hyperlink ref="E74" r:id="rId32" display="https://etfdb.com/etf/EWI/" xr:uid="{E6900DEF-00D7-4901-962F-72F0D9BAE778}"/>
    <hyperlink ref="D75" r:id="rId33" display="https://etfdb.com/etf/EWQ/" xr:uid="{DF9B7530-89AE-4087-83DC-CCFD820AAC24}"/>
    <hyperlink ref="E75" r:id="rId34" display="https://etfdb.com/etf/EWQ/" xr:uid="{E91C9FC8-C213-4FCA-84DD-90CF89D684E8}"/>
    <hyperlink ref="D76" r:id="rId35" display="https://etfdb.com/etf/EWD/" xr:uid="{E46E014A-8404-47AF-9630-2BC6B23EC9BD}"/>
    <hyperlink ref="E76" r:id="rId36" display="https://etfdb.com/etf/EWD/" xr:uid="{B87A399D-081E-40E8-BD3D-E2CCEB1008EC}"/>
    <hyperlink ref="D77" r:id="rId37" display="https://etfdb.com/etf/GREK/" xr:uid="{51C0F742-4EFF-4036-98F1-0FC6CAF65B4F}"/>
    <hyperlink ref="E77" r:id="rId38" display="https://etfdb.com/etf/GREK/" xr:uid="{33FAF03E-C5D3-4F0D-B5FC-939743B6C775}"/>
    <hyperlink ref="D78" r:id="rId39" display="https://etfdb.com/etf/EWN/" xr:uid="{1C9C6B44-615F-4FE9-B849-035B5A236EAA}"/>
    <hyperlink ref="E78" r:id="rId40" display="https://etfdb.com/etf/EWN/" xr:uid="{77EF733A-5032-4B46-8699-2EF1F590E37A}"/>
    <hyperlink ref="D85" r:id="rId41" display="https://etfdb.com/etf/DAX/" xr:uid="{BCDAF55C-4F40-4E01-9805-E698E13F4798}"/>
    <hyperlink ref="E85" r:id="rId42" display="https://etfdb.com/etf/DAX/" xr:uid="{AA0361CC-C515-41B5-A042-44F2189B006B}"/>
    <hyperlink ref="D80" r:id="rId43" display="https://etfdb.com/etf/EWJ/" xr:uid="{E2D5EA8C-9502-4B3F-B949-2317B31CDB9E}"/>
    <hyperlink ref="E80" r:id="rId44" display="https://etfdb.com/etf/EWJ/" xr:uid="{FBA7C619-0D68-40C5-AB23-9B0C9D332AC0}"/>
    <hyperlink ref="D81" r:id="rId45" display="https://etfdb.com/etf/EWT/" xr:uid="{F4AECEE2-365D-4CA6-B09C-CADA29CFC1BB}"/>
    <hyperlink ref="E81" r:id="rId46" display="https://etfdb.com/etf/EWT/" xr:uid="{2B0A38B3-A7DB-4232-946C-E0215112DC65}"/>
    <hyperlink ref="D82" r:id="rId47" display="https://etfdb.com/etf/EWY/" xr:uid="{A73F9E94-8E36-4521-984C-6C48C259C375}"/>
    <hyperlink ref="E82" r:id="rId48" display="https://etfdb.com/etf/EWY/" xr:uid="{05CA95DB-0CA0-4BE2-B1E2-3CCAB38912B3}"/>
    <hyperlink ref="D83" r:id="rId49" display="https://etfdb.com/etf/EWA/" xr:uid="{7A539012-3BB6-4568-86A8-ABAC222B1F93}"/>
    <hyperlink ref="E83" r:id="rId50" display="https://etfdb.com/etf/EWA/" xr:uid="{B747696A-4AAE-451A-94BC-A7D61FF39DFC}"/>
    <hyperlink ref="E12" r:id="rId51" display="https://etfdb.com/etf/GGOV/" xr:uid="{EC413462-3781-4EF8-890A-5018B0050369}"/>
    <hyperlink ref="D12" r:id="rId52" display="https://etfdb.com/etf/GGOV/" xr:uid="{5450E532-A9D9-4690-8A82-8FABD399D9B6}"/>
    <hyperlink ref="E24" r:id="rId53" display="https://etfdb.com/etf/EMB/" xr:uid="{3BF3F776-5B21-4935-904E-418C7CC5C346}"/>
    <hyperlink ref="E21" r:id="rId54" display="https://etfdb.com/etf/SGOV/" xr:uid="{1B003BFC-8FB3-4CF8-BB04-CD7E01303F66}"/>
    <hyperlink ref="E30" r:id="rId55" display="https://etfdb.com/etf/UCO/" xr:uid="{D878BFBE-90FB-42FC-AAAE-A3FC90FFD108}"/>
    <hyperlink ref="E25" r:id="rId56" display="https://etfdb.com/etf/BWX/" xr:uid="{97224D87-0906-417B-84C9-40C96B1CD9DA}"/>
    <hyperlink ref="E4" r:id="rId57" display="https://etfdb.com/etf/CORN/" xr:uid="{0928FD77-59B3-4E27-9919-B256BCECE3CC}"/>
    <hyperlink ref="D5" r:id="rId58" display="https://etfdb.com/etf/WEAT/" xr:uid="{2710AF2B-4E43-48B1-BB56-5F73B913AEC0}"/>
    <hyperlink ref="D6" r:id="rId59" display="https://etfdb.com/etf/SOYB/" xr:uid="{DA63514C-012B-4477-B1D0-B303B6EEA1C1}"/>
    <hyperlink ref="E6" r:id="rId60" display="https://etfdb.com/etf/SOYB/" xr:uid="{C13227C6-5CE7-4A71-89B7-0B4FF5616AAB}"/>
    <hyperlink ref="E5" r:id="rId61" display="https://etfdb.com/etf/WEAT/" xr:uid="{7436D1B8-C438-4BCA-BFCC-E37DCD171018}"/>
    <hyperlink ref="D7" r:id="rId62" display="https://etfdb.com/etf/FAAR/" xr:uid="{B9B3286C-6F14-4CBC-98B4-B9FB8DE47591}"/>
    <hyperlink ref="E7" r:id="rId63" display="https://etfdb.com/etf/FAAR/" xr:uid="{BA71E7C3-4535-471B-96B1-20CB858CAB8B}"/>
    <hyperlink ref="D31" r:id="rId64" display="https://etfdb.com/etf/UNG/" xr:uid="{09EA6435-7CC5-4140-997F-98A7729EE9F2}"/>
    <hyperlink ref="E31" r:id="rId65" display="https://etfdb.com/etf/UNG/" xr:uid="{FA4355B7-CC7F-452A-95C2-D6A07249B2BD}"/>
    <hyperlink ref="E32" r:id="rId66" display="https://etfdb.com/etf/BOIL/" xr:uid="{99518927-534A-4492-AC6D-0E86F909631B}"/>
    <hyperlink ref="D32" r:id="rId67" display="https://etfdb.com/etf/BOIL/" xr:uid="{0DCDF73E-A1FE-48C6-901B-F97C1C001835}"/>
    <hyperlink ref="E33" r:id="rId68" display="https://etfdb.com/etf/KRBN/" xr:uid="{719F0EA0-C244-4E13-9D8C-676FA14E4D93}"/>
    <hyperlink ref="D33" r:id="rId69" display="https://etfdb.com/etf/KRBN/" xr:uid="{F8B630C3-B1FE-446C-8FA1-0934BB0A068A}"/>
    <hyperlink ref="E34" r:id="rId70" display="https://etfdb.com/etf/UGA/" xr:uid="{0409390F-C17F-40FF-A38A-D2098F807DF6}"/>
    <hyperlink ref="D34" r:id="rId71" display="https://etfdb.com/etf/UGA/" xr:uid="{C057A1CB-7091-4F4B-BD45-507F41BB8B5E}"/>
    <hyperlink ref="E35" r:id="rId72" display="https://etfdb.com/etf/DBE/" xr:uid="{18EB442B-E9EF-495B-A12E-0C4AE2779113}"/>
  </hyperlinks>
  <pageMargins left="0.7" right="0.7" top="0.75" bottom="0.75" header="0.3" footer="0.3"/>
  <pageSetup paperSize="9" orientation="portrait" horizontalDpi="0" verticalDpi="0" r:id="rId7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7FD7-9C95-4936-941F-7A32BE3B4043}">
  <dimension ref="A1:F78"/>
  <sheetViews>
    <sheetView workbookViewId="0">
      <selection activeCell="B21" sqref="B21"/>
    </sheetView>
  </sheetViews>
  <sheetFormatPr defaultRowHeight="14.4" x14ac:dyDescent="0.3"/>
  <cols>
    <col min="1" max="1" width="11.5546875" bestFit="1" customWidth="1"/>
    <col min="2" max="2" width="30.88671875" bestFit="1" customWidth="1"/>
    <col min="3" max="4" width="10.33203125" bestFit="1" customWidth="1"/>
    <col min="5" max="5" width="45" bestFit="1" customWidth="1"/>
    <col min="6" max="6" width="15.88671875" bestFit="1" customWidth="1"/>
  </cols>
  <sheetData>
    <row r="1" spans="1:6" x14ac:dyDescent="0.3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</row>
    <row r="2" spans="1:6" x14ac:dyDescent="0.3">
      <c r="A2" t="s">
        <v>105</v>
      </c>
      <c r="B2" t="s">
        <v>263</v>
      </c>
      <c r="C2" s="15">
        <v>42641</v>
      </c>
      <c r="D2" s="15">
        <v>45933</v>
      </c>
      <c r="E2" t="s">
        <v>255</v>
      </c>
      <c r="F2" s="15">
        <v>42639</v>
      </c>
    </row>
    <row r="3" spans="1:6" x14ac:dyDescent="0.3">
      <c r="A3" t="s">
        <v>115</v>
      </c>
      <c r="B3" t="s">
        <v>18</v>
      </c>
      <c r="C3" s="15">
        <v>40862</v>
      </c>
      <c r="D3" s="15">
        <v>45933</v>
      </c>
      <c r="E3" t="s">
        <v>271</v>
      </c>
      <c r="F3" s="15">
        <v>40861</v>
      </c>
    </row>
    <row r="4" spans="1:6" x14ac:dyDescent="0.3">
      <c r="A4" t="s">
        <v>101</v>
      </c>
      <c r="B4" t="s">
        <v>14</v>
      </c>
      <c r="C4" s="15">
        <v>40462</v>
      </c>
      <c r="D4" s="15">
        <v>45933</v>
      </c>
      <c r="E4" t="s">
        <v>249</v>
      </c>
      <c r="F4" s="15">
        <v>38828</v>
      </c>
    </row>
    <row r="5" spans="1:6" x14ac:dyDescent="0.3">
      <c r="A5" t="s">
        <v>47</v>
      </c>
      <c r="B5" t="s">
        <v>270</v>
      </c>
      <c r="C5" s="15">
        <v>40920</v>
      </c>
      <c r="D5" s="15">
        <v>45933</v>
      </c>
      <c r="E5" t="s">
        <v>249</v>
      </c>
      <c r="F5" s="15">
        <v>40918</v>
      </c>
    </row>
    <row r="6" spans="1:6" x14ac:dyDescent="0.3">
      <c r="A6" t="s">
        <v>165</v>
      </c>
      <c r="B6" t="s">
        <v>166</v>
      </c>
      <c r="C6" s="15">
        <v>40462</v>
      </c>
      <c r="D6" s="15">
        <v>45933</v>
      </c>
      <c r="E6" t="s">
        <v>249</v>
      </c>
      <c r="F6" s="15">
        <v>39399</v>
      </c>
    </row>
    <row r="7" spans="1:6" x14ac:dyDescent="0.3">
      <c r="A7" t="s">
        <v>39</v>
      </c>
      <c r="B7" t="s">
        <v>21</v>
      </c>
      <c r="C7" s="15">
        <v>40462</v>
      </c>
      <c r="D7" s="15">
        <v>45933</v>
      </c>
      <c r="E7" t="s">
        <v>280</v>
      </c>
      <c r="F7" s="15">
        <v>33991</v>
      </c>
    </row>
    <row r="8" spans="1:6" x14ac:dyDescent="0.3">
      <c r="A8" t="s">
        <v>318</v>
      </c>
      <c r="B8" t="s">
        <v>325</v>
      </c>
      <c r="C8" s="15">
        <v>40462</v>
      </c>
      <c r="D8" s="15">
        <v>45933</v>
      </c>
      <c r="E8" t="s">
        <v>280</v>
      </c>
      <c r="F8" s="15">
        <v>39357</v>
      </c>
    </row>
    <row r="9" spans="1:6" x14ac:dyDescent="0.3">
      <c r="A9" t="s">
        <v>313</v>
      </c>
      <c r="B9" t="s">
        <v>314</v>
      </c>
      <c r="C9" s="15">
        <v>40462</v>
      </c>
      <c r="D9" s="15">
        <v>45933</v>
      </c>
      <c r="E9" t="s">
        <v>271</v>
      </c>
      <c r="F9" s="15">
        <v>38817</v>
      </c>
    </row>
    <row r="10" spans="1:6" x14ac:dyDescent="0.3">
      <c r="A10" t="s">
        <v>96</v>
      </c>
      <c r="B10" t="s">
        <v>256</v>
      </c>
      <c r="C10" s="15">
        <v>44232</v>
      </c>
      <c r="D10" s="15">
        <v>45933</v>
      </c>
    </row>
    <row r="11" spans="1:6" x14ac:dyDescent="0.3">
      <c r="A11" t="s">
        <v>139</v>
      </c>
      <c r="B11" t="s">
        <v>268</v>
      </c>
      <c r="C11" s="15">
        <v>41037</v>
      </c>
      <c r="D11" s="15">
        <v>45933</v>
      </c>
      <c r="E11" t="s">
        <v>251</v>
      </c>
      <c r="F11" s="15">
        <v>44841</v>
      </c>
    </row>
    <row r="12" spans="1:6" x14ac:dyDescent="0.3">
      <c r="A12" t="s">
        <v>205</v>
      </c>
      <c r="B12" t="s">
        <v>302</v>
      </c>
      <c r="C12" s="15">
        <v>40462</v>
      </c>
      <c r="D12" s="15">
        <v>45933</v>
      </c>
      <c r="E12" t="s">
        <v>249</v>
      </c>
      <c r="F12" s="15">
        <v>35136</v>
      </c>
    </row>
    <row r="13" spans="1:6" x14ac:dyDescent="0.3">
      <c r="A13" t="s">
        <v>178</v>
      </c>
      <c r="B13" t="s">
        <v>300</v>
      </c>
      <c r="C13" s="15">
        <v>40462</v>
      </c>
      <c r="D13" s="15">
        <v>45933</v>
      </c>
      <c r="E13" t="s">
        <v>249</v>
      </c>
      <c r="F13" s="15">
        <v>39398</v>
      </c>
    </row>
    <row r="14" spans="1:6" x14ac:dyDescent="0.3">
      <c r="A14" t="s">
        <v>323</v>
      </c>
      <c r="B14" t="s">
        <v>326</v>
      </c>
      <c r="C14" s="15">
        <v>40462</v>
      </c>
      <c r="D14" s="15">
        <v>45933</v>
      </c>
      <c r="E14" t="s">
        <v>310</v>
      </c>
      <c r="F14" s="15">
        <v>40413</v>
      </c>
    </row>
    <row r="15" spans="1:6" x14ac:dyDescent="0.3">
      <c r="A15" t="s">
        <v>236</v>
      </c>
      <c r="B15" t="s">
        <v>311</v>
      </c>
      <c r="C15" s="15">
        <v>40462</v>
      </c>
      <c r="D15" s="15">
        <v>45933</v>
      </c>
      <c r="E15" t="s">
        <v>249</v>
      </c>
      <c r="F15" s="15">
        <v>36655</v>
      </c>
    </row>
    <row r="16" spans="1:6" x14ac:dyDescent="0.3">
      <c r="A16" t="s">
        <v>55</v>
      </c>
      <c r="B16" t="s">
        <v>56</v>
      </c>
      <c r="C16" s="15">
        <v>41578</v>
      </c>
      <c r="D16" s="15">
        <v>45933</v>
      </c>
      <c r="E16" t="s">
        <v>266</v>
      </c>
      <c r="F16" s="15">
        <v>44006</v>
      </c>
    </row>
    <row r="17" spans="1:6" x14ac:dyDescent="0.3">
      <c r="A17" t="s">
        <v>127</v>
      </c>
      <c r="B17" t="s">
        <v>267</v>
      </c>
      <c r="C17" s="15">
        <v>41206</v>
      </c>
      <c r="D17" s="15">
        <v>45933</v>
      </c>
      <c r="E17" t="s">
        <v>249</v>
      </c>
      <c r="F17" s="15">
        <v>41200</v>
      </c>
    </row>
    <row r="18" spans="1:6" x14ac:dyDescent="0.3">
      <c r="A18" t="s">
        <v>68</v>
      </c>
      <c r="B18" t="s">
        <v>274</v>
      </c>
      <c r="C18" s="15">
        <v>40519</v>
      </c>
      <c r="D18" s="15">
        <v>45933</v>
      </c>
      <c r="E18" t="s">
        <v>275</v>
      </c>
      <c r="F18" s="15">
        <v>40518</v>
      </c>
    </row>
    <row r="19" spans="1:6" x14ac:dyDescent="0.3">
      <c r="A19" t="s">
        <v>192</v>
      </c>
      <c r="B19" t="s">
        <v>24</v>
      </c>
      <c r="C19" s="15">
        <v>40633</v>
      </c>
      <c r="D19" s="15">
        <v>45933</v>
      </c>
      <c r="E19" t="s">
        <v>249</v>
      </c>
      <c r="F19" s="15">
        <v>40631</v>
      </c>
    </row>
    <row r="20" spans="1:6" x14ac:dyDescent="0.3">
      <c r="A20" t="s">
        <v>137</v>
      </c>
      <c r="B20" t="s">
        <v>276</v>
      </c>
      <c r="C20" s="15">
        <v>40462</v>
      </c>
      <c r="D20" s="15">
        <v>45933</v>
      </c>
      <c r="E20" t="s">
        <v>249</v>
      </c>
      <c r="F20" s="15">
        <v>39433</v>
      </c>
    </row>
    <row r="21" spans="1:6" x14ac:dyDescent="0.3">
      <c r="A21" t="s">
        <v>173</v>
      </c>
      <c r="B21" t="s">
        <v>285</v>
      </c>
      <c r="C21" s="15">
        <v>40462</v>
      </c>
      <c r="D21" s="15">
        <v>45933</v>
      </c>
      <c r="E21" t="s">
        <v>249</v>
      </c>
      <c r="F21" s="15">
        <v>35136</v>
      </c>
    </row>
    <row r="22" spans="1:6" x14ac:dyDescent="0.3">
      <c r="A22" t="s">
        <v>184</v>
      </c>
      <c r="B22" t="s">
        <v>284</v>
      </c>
      <c r="C22" s="15">
        <v>40462</v>
      </c>
      <c r="D22" s="15">
        <v>45933</v>
      </c>
      <c r="E22" t="s">
        <v>249</v>
      </c>
      <c r="F22" s="15">
        <v>40323</v>
      </c>
    </row>
    <row r="23" spans="1:6" x14ac:dyDescent="0.3">
      <c r="A23" t="s">
        <v>150</v>
      </c>
      <c r="B23" t="s">
        <v>247</v>
      </c>
      <c r="C23" s="15">
        <v>43521</v>
      </c>
      <c r="D23" s="15">
        <v>45933</v>
      </c>
    </row>
    <row r="24" spans="1:6" x14ac:dyDescent="0.3">
      <c r="A24" t="s">
        <v>161</v>
      </c>
      <c r="B24" t="s">
        <v>250</v>
      </c>
      <c r="C24" s="15">
        <v>45684</v>
      </c>
      <c r="D24" s="15">
        <v>45933</v>
      </c>
      <c r="E24" t="s">
        <v>251</v>
      </c>
      <c r="F24" s="15">
        <v>39967</v>
      </c>
    </row>
    <row r="25" spans="1:6" x14ac:dyDescent="0.3">
      <c r="A25" t="s">
        <v>102</v>
      </c>
      <c r="B25" t="s">
        <v>294</v>
      </c>
      <c r="C25" s="15">
        <v>40462</v>
      </c>
      <c r="D25" s="15">
        <v>45933</v>
      </c>
    </row>
    <row r="26" spans="1:6" x14ac:dyDescent="0.3">
      <c r="A26" t="s">
        <v>202</v>
      </c>
      <c r="B26" t="s">
        <v>279</v>
      </c>
      <c r="C26" s="15">
        <v>40462</v>
      </c>
      <c r="D26" s="15">
        <v>45933</v>
      </c>
      <c r="E26" t="s">
        <v>280</v>
      </c>
      <c r="F26" s="15">
        <v>37544</v>
      </c>
    </row>
    <row r="27" spans="1:6" x14ac:dyDescent="0.3">
      <c r="A27" t="s">
        <v>143</v>
      </c>
      <c r="B27" t="s">
        <v>252</v>
      </c>
      <c r="C27" s="15">
        <v>45341</v>
      </c>
      <c r="D27" s="15">
        <v>45933</v>
      </c>
      <c r="E27" t="s">
        <v>253</v>
      </c>
      <c r="F27" s="15">
        <v>45341</v>
      </c>
    </row>
    <row r="28" spans="1:6" x14ac:dyDescent="0.3">
      <c r="A28" t="s">
        <v>97</v>
      </c>
      <c r="B28" t="s">
        <v>254</v>
      </c>
      <c r="C28" s="15">
        <v>45302</v>
      </c>
      <c r="D28" s="15">
        <v>45933</v>
      </c>
      <c r="E28" t="s">
        <v>249</v>
      </c>
      <c r="F28" s="15">
        <v>45296</v>
      </c>
    </row>
    <row r="29" spans="1:6" x14ac:dyDescent="0.3">
      <c r="A29" t="s">
        <v>135</v>
      </c>
      <c r="B29" t="s">
        <v>248</v>
      </c>
      <c r="C29" s="15">
        <v>45834</v>
      </c>
      <c r="D29" s="15">
        <v>45933</v>
      </c>
      <c r="E29" t="s">
        <v>249</v>
      </c>
      <c r="F29" s="15">
        <v>45833</v>
      </c>
    </row>
    <row r="30" spans="1:6" x14ac:dyDescent="0.3">
      <c r="A30" t="s">
        <v>75</v>
      </c>
      <c r="B30" t="s">
        <v>298</v>
      </c>
      <c r="C30" s="15">
        <v>40462</v>
      </c>
      <c r="D30" s="15">
        <v>45933</v>
      </c>
      <c r="E30" t="s">
        <v>296</v>
      </c>
      <c r="F30" s="15">
        <v>36887</v>
      </c>
    </row>
    <row r="31" spans="1:6" x14ac:dyDescent="0.3">
      <c r="A31" t="s">
        <v>122</v>
      </c>
      <c r="B31" t="s">
        <v>303</v>
      </c>
      <c r="C31" s="15">
        <v>40462</v>
      </c>
      <c r="D31" s="15">
        <v>45933</v>
      </c>
      <c r="E31" t="s">
        <v>249</v>
      </c>
      <c r="F31" s="15">
        <v>39087</v>
      </c>
    </row>
    <row r="32" spans="1:6" x14ac:dyDescent="0.3">
      <c r="A32" t="s">
        <v>93</v>
      </c>
      <c r="B32" t="s">
        <v>94</v>
      </c>
      <c r="C32" s="15">
        <v>44489</v>
      </c>
      <c r="D32" s="15">
        <v>45933</v>
      </c>
      <c r="E32" t="s">
        <v>255</v>
      </c>
      <c r="F32" s="15">
        <v>44487</v>
      </c>
    </row>
    <row r="33" spans="1:6" x14ac:dyDescent="0.3">
      <c r="A33" t="s">
        <v>212</v>
      </c>
      <c r="B33" t="s">
        <v>305</v>
      </c>
      <c r="C33" s="15">
        <v>40462</v>
      </c>
      <c r="D33" s="15">
        <v>45933</v>
      </c>
      <c r="E33" t="s">
        <v>249</v>
      </c>
      <c r="F33" s="15">
        <v>35136</v>
      </c>
    </row>
    <row r="34" spans="1:6" x14ac:dyDescent="0.3">
      <c r="A34" t="s">
        <v>194</v>
      </c>
      <c r="B34" t="s">
        <v>309</v>
      </c>
      <c r="C34" s="15">
        <v>40462</v>
      </c>
      <c r="D34" s="15">
        <v>45933</v>
      </c>
      <c r="E34" t="s">
        <v>310</v>
      </c>
      <c r="F34" s="15">
        <v>37116</v>
      </c>
    </row>
    <row r="35" spans="1:6" x14ac:dyDescent="0.3">
      <c r="A35" t="s">
        <v>73</v>
      </c>
      <c r="B35" t="s">
        <v>307</v>
      </c>
      <c r="C35" s="15">
        <v>40462</v>
      </c>
      <c r="D35" s="15">
        <v>45933</v>
      </c>
      <c r="E35" t="s">
        <v>308</v>
      </c>
      <c r="F35" s="15">
        <v>37127</v>
      </c>
    </row>
    <row r="36" spans="1:6" x14ac:dyDescent="0.3">
      <c r="A36" t="s">
        <v>176</v>
      </c>
      <c r="B36" t="s">
        <v>23</v>
      </c>
      <c r="C36" s="15">
        <v>40462</v>
      </c>
      <c r="D36" s="15">
        <v>45933</v>
      </c>
      <c r="E36" t="s">
        <v>249</v>
      </c>
      <c r="F36" s="15">
        <v>37189</v>
      </c>
    </row>
    <row r="37" spans="1:6" x14ac:dyDescent="0.3">
      <c r="A37" t="s">
        <v>124</v>
      </c>
      <c r="B37" t="s">
        <v>312</v>
      </c>
      <c r="C37" s="15">
        <v>40462</v>
      </c>
      <c r="D37" s="15">
        <v>45933</v>
      </c>
      <c r="E37" t="s">
        <v>249</v>
      </c>
      <c r="F37" s="15">
        <v>37459</v>
      </c>
    </row>
    <row r="38" spans="1:6" x14ac:dyDescent="0.3">
      <c r="A38" t="s">
        <v>58</v>
      </c>
      <c r="B38" t="s">
        <v>277</v>
      </c>
      <c r="C38" s="15">
        <v>40462</v>
      </c>
      <c r="D38" s="15">
        <v>45933</v>
      </c>
      <c r="E38" t="s">
        <v>251</v>
      </c>
      <c r="F38" s="15">
        <v>36619</v>
      </c>
    </row>
    <row r="39" spans="1:6" x14ac:dyDescent="0.3">
      <c r="A39" t="s">
        <v>117</v>
      </c>
      <c r="B39" t="s">
        <v>272</v>
      </c>
      <c r="C39" s="15">
        <v>40805</v>
      </c>
      <c r="D39" s="15">
        <v>45933</v>
      </c>
      <c r="E39" t="s">
        <v>273</v>
      </c>
      <c r="F39" s="15">
        <v>40802</v>
      </c>
    </row>
    <row r="40" spans="1:6" x14ac:dyDescent="0.3">
      <c r="A40" t="s">
        <v>80</v>
      </c>
      <c r="B40" t="s">
        <v>262</v>
      </c>
      <c r="C40" s="15">
        <v>42942</v>
      </c>
      <c r="D40" s="15">
        <v>45933</v>
      </c>
      <c r="E40" t="s">
        <v>249</v>
      </c>
      <c r="F40" s="15">
        <v>42934</v>
      </c>
    </row>
    <row r="41" spans="1:6" x14ac:dyDescent="0.3">
      <c r="A41" t="s">
        <v>190</v>
      </c>
      <c r="B41" t="s">
        <v>269</v>
      </c>
      <c r="C41" s="15">
        <v>40942</v>
      </c>
      <c r="D41" s="15">
        <v>45933</v>
      </c>
      <c r="E41" t="s">
        <v>249</v>
      </c>
      <c r="F41" s="15">
        <v>40941</v>
      </c>
    </row>
    <row r="42" spans="1:6" x14ac:dyDescent="0.3">
      <c r="A42" t="s">
        <v>87</v>
      </c>
      <c r="B42" t="s">
        <v>281</v>
      </c>
      <c r="C42" s="15">
        <v>40462</v>
      </c>
      <c r="D42" s="15">
        <v>45933</v>
      </c>
      <c r="E42" t="s">
        <v>249</v>
      </c>
      <c r="F42" s="15">
        <v>35136</v>
      </c>
    </row>
    <row r="43" spans="1:6" x14ac:dyDescent="0.3">
      <c r="A43" t="s">
        <v>43</v>
      </c>
      <c r="B43" t="s">
        <v>44</v>
      </c>
      <c r="C43" s="15">
        <v>40462</v>
      </c>
      <c r="D43" s="15">
        <v>45933</v>
      </c>
      <c r="E43" t="s">
        <v>286</v>
      </c>
      <c r="F43" s="15">
        <v>36229</v>
      </c>
    </row>
    <row r="44" spans="1:6" x14ac:dyDescent="0.3">
      <c r="A44" t="s">
        <v>220</v>
      </c>
      <c r="B44" t="s">
        <v>290</v>
      </c>
      <c r="C44" s="15">
        <v>40462</v>
      </c>
      <c r="D44" s="15">
        <v>45933</v>
      </c>
      <c r="E44" t="s">
        <v>249</v>
      </c>
      <c r="F44" s="15">
        <v>35136</v>
      </c>
    </row>
    <row r="45" spans="1:6" x14ac:dyDescent="0.3">
      <c r="A45" t="s">
        <v>65</v>
      </c>
      <c r="B45" t="s">
        <v>231</v>
      </c>
      <c r="C45" s="15">
        <v>41935</v>
      </c>
      <c r="D45" s="15">
        <v>45933</v>
      </c>
      <c r="E45" t="s">
        <v>265</v>
      </c>
      <c r="F45" s="15">
        <v>41934</v>
      </c>
    </row>
    <row r="46" spans="1:6" x14ac:dyDescent="0.3">
      <c r="A46" t="s">
        <v>170</v>
      </c>
      <c r="B46" t="s">
        <v>292</v>
      </c>
      <c r="C46" s="15">
        <v>40462</v>
      </c>
      <c r="D46" s="15">
        <v>45933</v>
      </c>
      <c r="E46" t="s">
        <v>249</v>
      </c>
      <c r="F46" s="15">
        <v>36717</v>
      </c>
    </row>
    <row r="47" spans="1:6" x14ac:dyDescent="0.3">
      <c r="A47" t="s">
        <v>99</v>
      </c>
      <c r="B47" t="s">
        <v>289</v>
      </c>
      <c r="C47" s="15">
        <v>40462</v>
      </c>
      <c r="D47" s="15">
        <v>45933</v>
      </c>
      <c r="E47" t="s">
        <v>280</v>
      </c>
      <c r="F47" s="15">
        <v>38309</v>
      </c>
    </row>
    <row r="48" spans="1:6" x14ac:dyDescent="0.3">
      <c r="A48" t="s">
        <v>187</v>
      </c>
      <c r="B48" t="s">
        <v>188</v>
      </c>
      <c r="C48" s="15">
        <v>40462</v>
      </c>
      <c r="D48" s="15">
        <v>45933</v>
      </c>
      <c r="E48" t="s">
        <v>249</v>
      </c>
      <c r="F48" s="15">
        <v>39533</v>
      </c>
    </row>
    <row r="49" spans="1:6" x14ac:dyDescent="0.3">
      <c r="A49" t="s">
        <v>157</v>
      </c>
      <c r="B49" t="s">
        <v>158</v>
      </c>
      <c r="C49" s="15">
        <v>45932</v>
      </c>
      <c r="D49" s="15">
        <v>45932</v>
      </c>
    </row>
    <row r="50" spans="1:6" x14ac:dyDescent="0.3">
      <c r="A50" t="s">
        <v>83</v>
      </c>
      <c r="B50" t="s">
        <v>84</v>
      </c>
      <c r="C50" s="15">
        <v>43447</v>
      </c>
      <c r="D50" s="15">
        <v>45933</v>
      </c>
      <c r="E50" t="s">
        <v>258</v>
      </c>
      <c r="F50" s="15">
        <v>45811</v>
      </c>
    </row>
    <row r="51" spans="1:6" x14ac:dyDescent="0.3">
      <c r="A51" t="s">
        <v>90</v>
      </c>
      <c r="B51" t="s">
        <v>259</v>
      </c>
      <c r="C51" s="15">
        <v>43087</v>
      </c>
      <c r="D51" s="15">
        <v>45933</v>
      </c>
    </row>
    <row r="52" spans="1:6" x14ac:dyDescent="0.3">
      <c r="A52" t="s">
        <v>168</v>
      </c>
      <c r="B52" t="s">
        <v>264</v>
      </c>
      <c r="C52" s="15">
        <v>42264</v>
      </c>
      <c r="D52" s="15">
        <v>45933</v>
      </c>
      <c r="E52" t="s">
        <v>249</v>
      </c>
      <c r="F52" s="15">
        <v>42263</v>
      </c>
    </row>
    <row r="53" spans="1:6" x14ac:dyDescent="0.3">
      <c r="A53" t="s">
        <v>223</v>
      </c>
      <c r="B53" t="s">
        <v>299</v>
      </c>
      <c r="C53" s="15">
        <v>40462</v>
      </c>
      <c r="D53" s="15">
        <v>45933</v>
      </c>
      <c r="E53" t="s">
        <v>249</v>
      </c>
      <c r="F53" s="15">
        <v>35136</v>
      </c>
    </row>
    <row r="54" spans="1:6" x14ac:dyDescent="0.3">
      <c r="A54" t="s">
        <v>199</v>
      </c>
      <c r="B54" t="s">
        <v>200</v>
      </c>
      <c r="C54" s="15">
        <v>41802</v>
      </c>
      <c r="D54" s="15">
        <v>45933</v>
      </c>
      <c r="E54" t="s">
        <v>249</v>
      </c>
      <c r="F54" s="15">
        <v>41800</v>
      </c>
    </row>
    <row r="55" spans="1:6" x14ac:dyDescent="0.3">
      <c r="A55" t="s">
        <v>129</v>
      </c>
      <c r="B55" t="s">
        <v>306</v>
      </c>
      <c r="C55" s="15">
        <v>40462</v>
      </c>
      <c r="D55" s="15">
        <v>45933</v>
      </c>
      <c r="E55" t="s">
        <v>286</v>
      </c>
      <c r="F55" s="15">
        <v>39366</v>
      </c>
    </row>
    <row r="56" spans="1:6" x14ac:dyDescent="0.3">
      <c r="A56" t="s">
        <v>315</v>
      </c>
      <c r="B56" t="s">
        <v>327</v>
      </c>
      <c r="C56" s="15">
        <v>40462</v>
      </c>
      <c r="D56" s="15">
        <v>45933</v>
      </c>
      <c r="E56" t="s">
        <v>255</v>
      </c>
      <c r="F56" s="15">
        <v>39776</v>
      </c>
    </row>
    <row r="57" spans="1:6" x14ac:dyDescent="0.3">
      <c r="A57" t="s">
        <v>321</v>
      </c>
      <c r="B57" t="s">
        <v>328</v>
      </c>
      <c r="C57" s="15">
        <v>41954</v>
      </c>
      <c r="D57" s="15">
        <v>45933</v>
      </c>
      <c r="E57" t="s">
        <v>329</v>
      </c>
      <c r="F57" s="15">
        <v>41953</v>
      </c>
    </row>
    <row r="58" spans="1:6" x14ac:dyDescent="0.3">
      <c r="A58" t="s">
        <v>197</v>
      </c>
      <c r="B58" t="s">
        <v>198</v>
      </c>
      <c r="C58" s="15">
        <v>40462</v>
      </c>
      <c r="D58" s="15">
        <v>45933</v>
      </c>
      <c r="E58" t="s">
        <v>249</v>
      </c>
      <c r="F58" s="15">
        <v>36732</v>
      </c>
    </row>
    <row r="59" spans="1:6" x14ac:dyDescent="0.3">
      <c r="A59" t="s">
        <v>107</v>
      </c>
      <c r="B59" t="s">
        <v>283</v>
      </c>
      <c r="C59" s="15">
        <v>40462</v>
      </c>
      <c r="D59" s="15">
        <v>45933</v>
      </c>
    </row>
    <row r="60" spans="1:6" x14ac:dyDescent="0.3">
      <c r="A60" t="s">
        <v>147</v>
      </c>
      <c r="B60" t="s">
        <v>282</v>
      </c>
      <c r="C60" s="15">
        <v>40462</v>
      </c>
      <c r="D60" s="15">
        <v>45933</v>
      </c>
      <c r="E60" t="s">
        <v>251</v>
      </c>
      <c r="F60" s="15">
        <v>45890</v>
      </c>
    </row>
    <row r="61" spans="1:6" x14ac:dyDescent="0.3">
      <c r="A61" t="s">
        <v>209</v>
      </c>
      <c r="B61" t="s">
        <v>278</v>
      </c>
      <c r="C61" s="15">
        <v>40462</v>
      </c>
      <c r="D61" s="15">
        <v>45933</v>
      </c>
      <c r="E61" t="s">
        <v>249</v>
      </c>
      <c r="F61" s="15">
        <v>35136</v>
      </c>
    </row>
    <row r="62" spans="1:6" x14ac:dyDescent="0.3">
      <c r="A62" t="s">
        <v>239</v>
      </c>
      <c r="B62" t="s">
        <v>287</v>
      </c>
      <c r="C62" s="15">
        <v>40462</v>
      </c>
      <c r="D62" s="15">
        <v>45933</v>
      </c>
      <c r="E62" t="s">
        <v>249</v>
      </c>
      <c r="F62" s="15">
        <v>35136</v>
      </c>
    </row>
    <row r="63" spans="1:6" x14ac:dyDescent="0.3">
      <c r="A63" t="s">
        <v>163</v>
      </c>
      <c r="B63" t="s">
        <v>257</v>
      </c>
      <c r="C63" s="15">
        <v>43983</v>
      </c>
      <c r="D63" s="15">
        <v>45933</v>
      </c>
      <c r="E63" t="s">
        <v>249</v>
      </c>
      <c r="F63" s="15">
        <v>43977</v>
      </c>
    </row>
    <row r="64" spans="1:6" x14ac:dyDescent="0.3">
      <c r="A64" t="s">
        <v>111</v>
      </c>
      <c r="B64" t="s">
        <v>12</v>
      </c>
      <c r="C64" s="15">
        <v>40462</v>
      </c>
      <c r="D64" s="15">
        <v>45933</v>
      </c>
      <c r="E64" t="s">
        <v>286</v>
      </c>
      <c r="F64" s="15">
        <v>39087</v>
      </c>
    </row>
    <row r="65" spans="1:6" x14ac:dyDescent="0.3">
      <c r="A65" t="s">
        <v>229</v>
      </c>
      <c r="B65" t="s">
        <v>288</v>
      </c>
      <c r="C65" s="15">
        <v>40462</v>
      </c>
      <c r="D65" s="15">
        <v>45933</v>
      </c>
      <c r="E65" t="s">
        <v>249</v>
      </c>
      <c r="F65" s="15">
        <v>35136</v>
      </c>
    </row>
    <row r="66" spans="1:6" x14ac:dyDescent="0.3">
      <c r="A66" t="s">
        <v>154</v>
      </c>
      <c r="B66" t="s">
        <v>247</v>
      </c>
      <c r="C66" s="15">
        <v>45933</v>
      </c>
      <c r="D66" s="15">
        <v>45933</v>
      </c>
    </row>
    <row r="67" spans="1:6" x14ac:dyDescent="0.3">
      <c r="A67" t="s">
        <v>217</v>
      </c>
      <c r="B67" t="s">
        <v>291</v>
      </c>
      <c r="C67" s="15">
        <v>40462</v>
      </c>
      <c r="D67" s="15">
        <v>45933</v>
      </c>
      <c r="E67" t="s">
        <v>249</v>
      </c>
      <c r="F67" s="15">
        <v>35136</v>
      </c>
    </row>
    <row r="68" spans="1:6" x14ac:dyDescent="0.3">
      <c r="A68" t="s">
        <v>226</v>
      </c>
      <c r="B68" t="s">
        <v>227</v>
      </c>
      <c r="C68" s="15">
        <v>40885</v>
      </c>
      <c r="D68" s="15">
        <v>45933</v>
      </c>
      <c r="E68" t="s">
        <v>265</v>
      </c>
      <c r="F68" s="15">
        <v>40884</v>
      </c>
    </row>
    <row r="69" spans="1:6" x14ac:dyDescent="0.3">
      <c r="A69" t="s">
        <v>233</v>
      </c>
      <c r="B69" t="s">
        <v>293</v>
      </c>
      <c r="C69" s="15">
        <v>40462</v>
      </c>
      <c r="D69" s="15">
        <v>45933</v>
      </c>
      <c r="E69" t="s">
        <v>249</v>
      </c>
      <c r="F69" s="15">
        <v>36697</v>
      </c>
    </row>
    <row r="70" spans="1:6" x14ac:dyDescent="0.3">
      <c r="A70" t="s">
        <v>63</v>
      </c>
      <c r="B70" t="s">
        <v>295</v>
      </c>
      <c r="C70" s="15">
        <v>40462</v>
      </c>
      <c r="D70" s="15">
        <v>45933</v>
      </c>
      <c r="E70" t="s">
        <v>296</v>
      </c>
      <c r="F70" s="15">
        <v>38030</v>
      </c>
    </row>
    <row r="71" spans="1:6" x14ac:dyDescent="0.3">
      <c r="A71" t="s">
        <v>207</v>
      </c>
      <c r="B71" t="s">
        <v>22</v>
      </c>
      <c r="C71" s="15">
        <v>40462</v>
      </c>
      <c r="D71" s="15">
        <v>45933</v>
      </c>
      <c r="E71" t="s">
        <v>249</v>
      </c>
      <c r="F71" s="15">
        <v>36732</v>
      </c>
    </row>
    <row r="72" spans="1:6" x14ac:dyDescent="0.3">
      <c r="A72" t="s">
        <v>119</v>
      </c>
      <c r="B72" t="s">
        <v>297</v>
      </c>
      <c r="C72" s="15">
        <v>40462</v>
      </c>
      <c r="D72" s="15">
        <v>45933</v>
      </c>
      <c r="E72" t="s">
        <v>249</v>
      </c>
      <c r="F72" s="15">
        <v>37459</v>
      </c>
    </row>
    <row r="73" spans="1:6" x14ac:dyDescent="0.3">
      <c r="A73" t="s">
        <v>113</v>
      </c>
      <c r="B73" t="s">
        <v>13</v>
      </c>
      <c r="C73" s="15">
        <v>40462</v>
      </c>
      <c r="D73" s="15">
        <v>45933</v>
      </c>
      <c r="E73" t="s">
        <v>286</v>
      </c>
      <c r="F73" s="15">
        <v>39087</v>
      </c>
    </row>
    <row r="74" spans="1:6" x14ac:dyDescent="0.3">
      <c r="A74" t="s">
        <v>50</v>
      </c>
      <c r="B74" t="s">
        <v>51</v>
      </c>
      <c r="C74" s="15">
        <v>41606</v>
      </c>
      <c r="D74" s="15">
        <v>45933</v>
      </c>
      <c r="E74" t="s">
        <v>266</v>
      </c>
      <c r="F74" s="15">
        <v>44006</v>
      </c>
    </row>
    <row r="75" spans="1:6" x14ac:dyDescent="0.3">
      <c r="A75" t="s">
        <v>78</v>
      </c>
      <c r="B75" t="s">
        <v>301</v>
      </c>
      <c r="C75" s="15">
        <v>40462</v>
      </c>
      <c r="D75" s="15">
        <v>45933</v>
      </c>
      <c r="E75" t="s">
        <v>249</v>
      </c>
      <c r="F75" s="15">
        <v>37718</v>
      </c>
    </row>
    <row r="76" spans="1:6" x14ac:dyDescent="0.3">
      <c r="A76" t="s">
        <v>132</v>
      </c>
      <c r="B76" t="s">
        <v>304</v>
      </c>
      <c r="C76" s="15">
        <v>40462</v>
      </c>
      <c r="D76" s="15">
        <v>45933</v>
      </c>
      <c r="E76" t="s">
        <v>296</v>
      </c>
      <c r="F76" s="15">
        <v>38909</v>
      </c>
    </row>
    <row r="77" spans="1:6" x14ac:dyDescent="0.3">
      <c r="A77" t="s">
        <v>181</v>
      </c>
      <c r="B77" t="s">
        <v>182</v>
      </c>
      <c r="C77" s="15">
        <v>40605</v>
      </c>
      <c r="D77" s="15">
        <v>45933</v>
      </c>
      <c r="E77" t="s">
        <v>265</v>
      </c>
      <c r="F77" s="15">
        <v>40604</v>
      </c>
    </row>
    <row r="78" spans="1:6" x14ac:dyDescent="0.3">
      <c r="A78" t="s">
        <v>214</v>
      </c>
      <c r="B78" t="s">
        <v>260</v>
      </c>
      <c r="C78" s="15">
        <v>43045</v>
      </c>
      <c r="D78" s="15">
        <v>45933</v>
      </c>
      <c r="E78" t="s">
        <v>261</v>
      </c>
      <c r="F78" s="15">
        <v>43041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FDD2-D400-416B-8E24-0A214EEB3B45}">
  <dimension ref="A1:D55"/>
  <sheetViews>
    <sheetView tabSelected="1" workbookViewId="0">
      <selection activeCell="G10" sqref="G10"/>
    </sheetView>
  </sheetViews>
  <sheetFormatPr defaultRowHeight="14.4" x14ac:dyDescent="0.3"/>
  <cols>
    <col min="2" max="2" width="12.21875" customWidth="1"/>
    <col min="3" max="3" width="12.5546875" customWidth="1"/>
    <col min="4" max="4" width="50.6640625" customWidth="1"/>
  </cols>
  <sheetData>
    <row r="1" spans="1:4" x14ac:dyDescent="0.3">
      <c r="A1" s="4" t="s">
        <v>33</v>
      </c>
      <c r="B1" s="4" t="s">
        <v>31</v>
      </c>
      <c r="C1" s="4" t="s">
        <v>32</v>
      </c>
      <c r="D1" s="4" t="s">
        <v>34</v>
      </c>
    </row>
    <row r="2" spans="1:4" x14ac:dyDescent="0.3">
      <c r="A2" t="s">
        <v>111</v>
      </c>
      <c r="B2" t="s">
        <v>110</v>
      </c>
      <c r="C2" t="s">
        <v>110</v>
      </c>
      <c r="D2" t="s">
        <v>12</v>
      </c>
    </row>
    <row r="3" spans="1:4" x14ac:dyDescent="0.3">
      <c r="A3" s="3" t="s">
        <v>117</v>
      </c>
      <c r="B3" t="s">
        <v>110</v>
      </c>
      <c r="C3" t="s">
        <v>116</v>
      </c>
      <c r="D3" s="22" t="s">
        <v>17</v>
      </c>
    </row>
    <row r="4" spans="1:4" ht="15" thickBot="1" x14ac:dyDescent="0.35">
      <c r="A4" s="3" t="s">
        <v>338</v>
      </c>
      <c r="B4" t="s">
        <v>110</v>
      </c>
      <c r="C4" t="s">
        <v>337</v>
      </c>
      <c r="D4" s="10" t="s">
        <v>339</v>
      </c>
    </row>
    <row r="5" spans="1:4" ht="15" thickBot="1" x14ac:dyDescent="0.35">
      <c r="A5" s="3" t="s">
        <v>340</v>
      </c>
      <c r="B5" t="s">
        <v>110</v>
      </c>
      <c r="C5" t="s">
        <v>346</v>
      </c>
      <c r="D5" s="3" t="s">
        <v>343</v>
      </c>
    </row>
    <row r="6" spans="1:4" ht="15" thickBot="1" x14ac:dyDescent="0.35">
      <c r="A6" s="22" t="s">
        <v>341</v>
      </c>
      <c r="B6" t="s">
        <v>110</v>
      </c>
      <c r="C6" t="s">
        <v>347</v>
      </c>
      <c r="D6" s="8" t="s">
        <v>342</v>
      </c>
    </row>
    <row r="7" spans="1:4" x14ac:dyDescent="0.3">
      <c r="A7" s="25" t="s">
        <v>119</v>
      </c>
      <c r="B7" t="s">
        <v>6</v>
      </c>
      <c r="C7" t="s">
        <v>118</v>
      </c>
      <c r="D7" s="26" t="s">
        <v>120</v>
      </c>
    </row>
    <row r="8" spans="1:4" x14ac:dyDescent="0.3">
      <c r="A8" s="25" t="s">
        <v>122</v>
      </c>
      <c r="B8" t="s">
        <v>6</v>
      </c>
      <c r="C8" t="s">
        <v>121</v>
      </c>
      <c r="D8" s="26" t="s">
        <v>8</v>
      </c>
    </row>
    <row r="9" spans="1:4" x14ac:dyDescent="0.3">
      <c r="A9" s="1" t="s">
        <v>124</v>
      </c>
      <c r="B9" t="s">
        <v>6</v>
      </c>
      <c r="C9" t="s">
        <v>123</v>
      </c>
      <c r="D9" s="26" t="s">
        <v>125</v>
      </c>
    </row>
    <row r="10" spans="1:4" x14ac:dyDescent="0.3">
      <c r="A10" s="25" t="s">
        <v>127</v>
      </c>
      <c r="B10" t="s">
        <v>6</v>
      </c>
      <c r="C10" t="s">
        <v>126</v>
      </c>
      <c r="D10" s="26" t="s">
        <v>9</v>
      </c>
    </row>
    <row r="11" spans="1:4" x14ac:dyDescent="0.3">
      <c r="A11" s="1" t="s">
        <v>129</v>
      </c>
      <c r="B11" t="s">
        <v>6</v>
      </c>
      <c r="C11" t="s">
        <v>128</v>
      </c>
      <c r="D11" t="s">
        <v>130</v>
      </c>
    </row>
    <row r="12" spans="1:4" x14ac:dyDescent="0.3">
      <c r="A12" s="3" t="s">
        <v>137</v>
      </c>
      <c r="B12" t="s">
        <v>6</v>
      </c>
      <c r="C12" t="s">
        <v>136</v>
      </c>
      <c r="D12" s="3" t="s">
        <v>11</v>
      </c>
    </row>
    <row r="13" spans="1:4" x14ac:dyDescent="0.3">
      <c r="A13" t="s">
        <v>318</v>
      </c>
      <c r="B13" t="s">
        <v>6</v>
      </c>
      <c r="C13" t="s">
        <v>317</v>
      </c>
      <c r="D13" s="3" t="s">
        <v>319</v>
      </c>
    </row>
    <row r="14" spans="1:4" x14ac:dyDescent="0.3">
      <c r="A14" t="s">
        <v>323</v>
      </c>
      <c r="B14" t="s">
        <v>6</v>
      </c>
      <c r="C14" t="s">
        <v>324</v>
      </c>
      <c r="D14" t="s">
        <v>322</v>
      </c>
    </row>
    <row r="15" spans="1:4" x14ac:dyDescent="0.3">
      <c r="A15" s="26" t="s">
        <v>313</v>
      </c>
      <c r="B15" t="s">
        <v>336</v>
      </c>
      <c r="C15" t="s">
        <v>104</v>
      </c>
      <c r="D15" s="26" t="s">
        <v>314</v>
      </c>
    </row>
    <row r="16" spans="1:4" x14ac:dyDescent="0.3">
      <c r="A16" s="26" t="s">
        <v>315</v>
      </c>
      <c r="B16" t="s">
        <v>336</v>
      </c>
      <c r="C16" t="s">
        <v>104</v>
      </c>
      <c r="D16" s="22" t="s">
        <v>316</v>
      </c>
    </row>
    <row r="17" spans="1:4" ht="15" thickBot="1" x14ac:dyDescent="0.35">
      <c r="A17" s="22" t="s">
        <v>348</v>
      </c>
      <c r="B17" t="s">
        <v>336</v>
      </c>
      <c r="C17" t="s">
        <v>358</v>
      </c>
      <c r="D17" s="22" t="s">
        <v>349</v>
      </c>
    </row>
    <row r="18" spans="1:4" ht="15" thickBot="1" x14ac:dyDescent="0.35">
      <c r="A18" s="3" t="s">
        <v>351</v>
      </c>
      <c r="B18" t="s">
        <v>336</v>
      </c>
      <c r="C18" t="s">
        <v>358</v>
      </c>
      <c r="D18" s="7" t="s">
        <v>350</v>
      </c>
    </row>
    <row r="19" spans="1:4" ht="15" thickBot="1" x14ac:dyDescent="0.35">
      <c r="A19" s="22" t="s">
        <v>355</v>
      </c>
      <c r="B19" t="s">
        <v>336</v>
      </c>
      <c r="C19" t="s">
        <v>359</v>
      </c>
      <c r="D19" s="7" t="s">
        <v>354</v>
      </c>
    </row>
    <row r="20" spans="1:4" x14ac:dyDescent="0.3">
      <c r="A20" t="s">
        <v>357</v>
      </c>
      <c r="B20" t="s">
        <v>336</v>
      </c>
      <c r="C20" t="s">
        <v>336</v>
      </c>
      <c r="D20" s="3" t="s">
        <v>356</v>
      </c>
    </row>
    <row r="21" spans="1:4" x14ac:dyDescent="0.3">
      <c r="A21" s="26" t="s">
        <v>39</v>
      </c>
      <c r="B21" t="s">
        <v>240</v>
      </c>
      <c r="C21" t="s">
        <v>38</v>
      </c>
      <c r="D21" s="25" t="s">
        <v>21</v>
      </c>
    </row>
    <row r="22" spans="1:4" x14ac:dyDescent="0.3">
      <c r="A22" s="26" t="s">
        <v>43</v>
      </c>
      <c r="B22" t="s">
        <v>240</v>
      </c>
      <c r="C22" t="s">
        <v>42</v>
      </c>
      <c r="D22" s="25" t="s">
        <v>44</v>
      </c>
    </row>
    <row r="23" spans="1:4" x14ac:dyDescent="0.3">
      <c r="A23" s="26" t="s">
        <v>47</v>
      </c>
      <c r="B23" t="s">
        <v>240</v>
      </c>
      <c r="C23" t="s">
        <v>46</v>
      </c>
      <c r="D23" s="25" t="s">
        <v>48</v>
      </c>
    </row>
    <row r="24" spans="1:4" x14ac:dyDescent="0.3">
      <c r="A24" s="1" t="s">
        <v>78</v>
      </c>
      <c r="B24" t="s">
        <v>240</v>
      </c>
      <c r="C24" t="s">
        <v>77</v>
      </c>
      <c r="D24" s="2" t="s">
        <v>79</v>
      </c>
    </row>
    <row r="25" spans="1:4" x14ac:dyDescent="0.3">
      <c r="A25" s="1" t="s">
        <v>87</v>
      </c>
      <c r="B25" t="s">
        <v>240</v>
      </c>
      <c r="C25" t="s">
        <v>86</v>
      </c>
      <c r="D25" s="2" t="s">
        <v>26</v>
      </c>
    </row>
    <row r="26" spans="1:4" x14ac:dyDescent="0.3">
      <c r="A26" s="3" t="s">
        <v>165</v>
      </c>
      <c r="B26" t="s">
        <v>240</v>
      </c>
      <c r="C26" t="s">
        <v>164</v>
      </c>
      <c r="D26" s="17" t="s">
        <v>166</v>
      </c>
    </row>
    <row r="27" spans="1:4" x14ac:dyDescent="0.3">
      <c r="A27" s="1" t="s">
        <v>170</v>
      </c>
      <c r="B27" t="s">
        <v>240</v>
      </c>
      <c r="C27" t="s">
        <v>169</v>
      </c>
      <c r="D27" s="3" t="s">
        <v>171</v>
      </c>
    </row>
    <row r="28" spans="1:4" x14ac:dyDescent="0.3">
      <c r="A28" s="1" t="s">
        <v>173</v>
      </c>
      <c r="B28" t="s">
        <v>240</v>
      </c>
      <c r="C28" t="s">
        <v>172</v>
      </c>
      <c r="D28" s="3" t="s">
        <v>174</v>
      </c>
    </row>
    <row r="29" spans="1:4" x14ac:dyDescent="0.3">
      <c r="A29" s="25" t="s">
        <v>176</v>
      </c>
      <c r="B29" t="s">
        <v>240</v>
      </c>
      <c r="C29" t="s">
        <v>175</v>
      </c>
      <c r="D29" s="22" t="s">
        <v>23</v>
      </c>
    </row>
    <row r="30" spans="1:4" x14ac:dyDescent="0.3">
      <c r="A30" s="1" t="s">
        <v>178</v>
      </c>
      <c r="B30" t="s">
        <v>240</v>
      </c>
      <c r="C30" t="s">
        <v>177</v>
      </c>
      <c r="D30" s="22" t="s">
        <v>179</v>
      </c>
    </row>
    <row r="31" spans="1:4" x14ac:dyDescent="0.3">
      <c r="A31" s="1" t="s">
        <v>181</v>
      </c>
      <c r="B31" t="s">
        <v>240</v>
      </c>
      <c r="C31" t="s">
        <v>180</v>
      </c>
      <c r="D31" s="22" t="s">
        <v>182</v>
      </c>
    </row>
    <row r="32" spans="1:4" x14ac:dyDescent="0.3">
      <c r="A32" s="1" t="s">
        <v>184</v>
      </c>
      <c r="B32" t="s">
        <v>240</v>
      </c>
      <c r="C32" t="s">
        <v>183</v>
      </c>
      <c r="D32" s="22" t="s">
        <v>185</v>
      </c>
    </row>
    <row r="33" spans="1:4" x14ac:dyDescent="0.3">
      <c r="A33" s="25" t="s">
        <v>187</v>
      </c>
      <c r="B33" t="s">
        <v>240</v>
      </c>
      <c r="C33" t="s">
        <v>186</v>
      </c>
      <c r="D33" s="22" t="s">
        <v>188</v>
      </c>
    </row>
    <row r="34" spans="1:4" ht="15" thickBot="1" x14ac:dyDescent="0.35">
      <c r="A34" s="25" t="s">
        <v>190</v>
      </c>
      <c r="B34" t="s">
        <v>240</v>
      </c>
      <c r="C34" t="s">
        <v>189</v>
      </c>
      <c r="D34" s="26" t="s">
        <v>25</v>
      </c>
    </row>
    <row r="35" spans="1:4" ht="15" thickBot="1" x14ac:dyDescent="0.35">
      <c r="A35" s="25" t="s">
        <v>192</v>
      </c>
      <c r="B35" t="s">
        <v>240</v>
      </c>
      <c r="C35" t="s">
        <v>191</v>
      </c>
      <c r="D35" s="8" t="s">
        <v>24</v>
      </c>
    </row>
    <row r="36" spans="1:4" ht="15" thickBot="1" x14ac:dyDescent="0.35">
      <c r="A36" s="9" t="s">
        <v>194</v>
      </c>
      <c r="B36" t="s">
        <v>240</v>
      </c>
      <c r="C36" t="s">
        <v>193</v>
      </c>
      <c r="D36" s="10" t="s">
        <v>195</v>
      </c>
    </row>
    <row r="37" spans="1:4" ht="15" thickBot="1" x14ac:dyDescent="0.35">
      <c r="A37" s="11" t="s">
        <v>197</v>
      </c>
      <c r="B37" t="s">
        <v>240</v>
      </c>
      <c r="C37" t="s">
        <v>196</v>
      </c>
      <c r="D37" s="8" t="s">
        <v>198</v>
      </c>
    </row>
    <row r="38" spans="1:4" ht="15" thickBot="1" x14ac:dyDescent="0.35">
      <c r="A38" s="11" t="s">
        <v>202</v>
      </c>
      <c r="B38" t="s">
        <v>240</v>
      </c>
      <c r="C38" t="s">
        <v>201</v>
      </c>
      <c r="D38" s="8" t="s">
        <v>203</v>
      </c>
    </row>
    <row r="39" spans="1:4" ht="15" thickBot="1" x14ac:dyDescent="0.35">
      <c r="A39" s="11" t="s">
        <v>205</v>
      </c>
      <c r="B39" t="s">
        <v>240</v>
      </c>
      <c r="C39" t="s">
        <v>204</v>
      </c>
      <c r="D39" s="8" t="s">
        <v>206</v>
      </c>
    </row>
    <row r="40" spans="1:4" ht="15" thickBot="1" x14ac:dyDescent="0.35">
      <c r="A40" s="12" t="s">
        <v>207</v>
      </c>
      <c r="B40" t="s">
        <v>240</v>
      </c>
      <c r="C40" t="s">
        <v>193</v>
      </c>
      <c r="D40" s="7" t="s">
        <v>22</v>
      </c>
    </row>
    <row r="41" spans="1:4" ht="15" thickBot="1" x14ac:dyDescent="0.35">
      <c r="A41" s="11" t="s">
        <v>209</v>
      </c>
      <c r="B41" t="s">
        <v>240</v>
      </c>
      <c r="C41" t="s">
        <v>208</v>
      </c>
      <c r="D41" s="8" t="s">
        <v>210</v>
      </c>
    </row>
    <row r="42" spans="1:4" ht="15" thickBot="1" x14ac:dyDescent="0.35">
      <c r="A42" s="11" t="s">
        <v>212</v>
      </c>
      <c r="B42" t="s">
        <v>240</v>
      </c>
      <c r="C42" t="s">
        <v>211</v>
      </c>
      <c r="D42" s="8" t="s">
        <v>213</v>
      </c>
    </row>
    <row r="43" spans="1:4" ht="15" thickBot="1" x14ac:dyDescent="0.35">
      <c r="A43" s="11" t="s">
        <v>217</v>
      </c>
      <c r="B43" t="s">
        <v>240</v>
      </c>
      <c r="C43" t="s">
        <v>216</v>
      </c>
      <c r="D43" s="8" t="s">
        <v>218</v>
      </c>
    </row>
    <row r="44" spans="1:4" ht="15" thickBot="1" x14ac:dyDescent="0.35">
      <c r="A44" s="12" t="s">
        <v>220</v>
      </c>
      <c r="B44" t="s">
        <v>240</v>
      </c>
      <c r="C44" t="s">
        <v>219</v>
      </c>
      <c r="D44" s="7" t="s">
        <v>221</v>
      </c>
    </row>
    <row r="45" spans="1:4" ht="15" thickBot="1" x14ac:dyDescent="0.35">
      <c r="A45" s="11" t="s">
        <v>223</v>
      </c>
      <c r="B45" t="s">
        <v>240</v>
      </c>
      <c r="C45" t="s">
        <v>222</v>
      </c>
      <c r="D45" s="8" t="s">
        <v>224</v>
      </c>
    </row>
    <row r="46" spans="1:4" ht="15" thickBot="1" x14ac:dyDescent="0.35">
      <c r="A46" s="12" t="s">
        <v>226</v>
      </c>
      <c r="B46" t="s">
        <v>240</v>
      </c>
      <c r="C46" t="s">
        <v>225</v>
      </c>
      <c r="D46" s="7" t="s">
        <v>227</v>
      </c>
    </row>
    <row r="47" spans="1:4" ht="15" thickBot="1" x14ac:dyDescent="0.35">
      <c r="A47" s="11" t="s">
        <v>229</v>
      </c>
      <c r="B47" t="s">
        <v>240</v>
      </c>
      <c r="C47" t="s">
        <v>228</v>
      </c>
      <c r="D47" s="8" t="s">
        <v>230</v>
      </c>
    </row>
    <row r="48" spans="1:4" ht="15" thickBot="1" x14ac:dyDescent="0.35">
      <c r="A48" s="12" t="s">
        <v>87</v>
      </c>
      <c r="B48" t="s">
        <v>240</v>
      </c>
      <c r="C48" t="s">
        <v>86</v>
      </c>
      <c r="D48" s="7" t="s">
        <v>26</v>
      </c>
    </row>
    <row r="49" spans="1:4" ht="15" thickBot="1" x14ac:dyDescent="0.35">
      <c r="A49" s="21" t="s">
        <v>233</v>
      </c>
      <c r="B49" t="s">
        <v>240</v>
      </c>
      <c r="C49" t="s">
        <v>232</v>
      </c>
      <c r="D49" s="23" t="s">
        <v>234</v>
      </c>
    </row>
    <row r="50" spans="1:4" ht="15" thickBot="1" x14ac:dyDescent="0.35">
      <c r="A50" s="12" t="s">
        <v>236</v>
      </c>
      <c r="B50" t="s">
        <v>240</v>
      </c>
      <c r="C50" t="s">
        <v>235</v>
      </c>
      <c r="D50" s="7" t="s">
        <v>237</v>
      </c>
    </row>
    <row r="51" spans="1:4" ht="15" thickBot="1" x14ac:dyDescent="0.35">
      <c r="A51" s="11" t="s">
        <v>239</v>
      </c>
      <c r="B51" t="s">
        <v>240</v>
      </c>
      <c r="C51" t="s">
        <v>238</v>
      </c>
      <c r="D51" s="8" t="s">
        <v>28</v>
      </c>
    </row>
    <row r="52" spans="1:4" ht="15" thickBot="1" x14ac:dyDescent="0.35">
      <c r="A52" s="18" t="s">
        <v>99</v>
      </c>
      <c r="B52" t="s">
        <v>112</v>
      </c>
      <c r="C52" t="s">
        <v>98</v>
      </c>
      <c r="D52" s="20" t="s">
        <v>16</v>
      </c>
    </row>
    <row r="53" spans="1:4" x14ac:dyDescent="0.3">
      <c r="A53" s="25" t="s">
        <v>101</v>
      </c>
      <c r="B53" t="s">
        <v>112</v>
      </c>
      <c r="C53" t="s">
        <v>100</v>
      </c>
      <c r="D53" s="26" t="s">
        <v>14</v>
      </c>
    </row>
    <row r="54" spans="1:4" x14ac:dyDescent="0.3">
      <c r="A54" t="s">
        <v>113</v>
      </c>
      <c r="B54" t="s">
        <v>112</v>
      </c>
      <c r="C54" t="s">
        <v>112</v>
      </c>
      <c r="D54" t="s">
        <v>13</v>
      </c>
    </row>
    <row r="55" spans="1:4" x14ac:dyDescent="0.3">
      <c r="A55" t="s">
        <v>115</v>
      </c>
      <c r="B55" t="s">
        <v>112</v>
      </c>
      <c r="C55" t="s">
        <v>114</v>
      </c>
      <c r="D55" t="s">
        <v>18</v>
      </c>
    </row>
  </sheetData>
  <autoFilter ref="A1:D1" xr:uid="{7DE4FDD2-D400-416B-8E24-0A214EEB3B45}"/>
  <hyperlinks>
    <hyperlink ref="A3" r:id="rId1" display="https://etfdb.com/etf/CANE/" xr:uid="{36BE9E94-29F5-4226-8BE8-6FC41CBBDFB8}"/>
    <hyperlink ref="D3" r:id="rId2" display="https://etfdb.com/etf/CANE/" xr:uid="{84E31B48-9CAE-4BE1-AE4D-5D44314DD72C}"/>
    <hyperlink ref="D4" r:id="rId3" display="https://etfdb.com/etf/CORN/" xr:uid="{C5278EE6-6E92-4A40-8B88-CE30601863D5}"/>
    <hyperlink ref="A5" r:id="rId4" display="https://etfdb.com/etf/WEAT/" xr:uid="{525A5345-08C1-4007-88D4-EC9617BA7B94}"/>
    <hyperlink ref="A6" r:id="rId5" display="https://etfdb.com/etf/SOYB/" xr:uid="{5B08CE35-A256-4C44-A3CF-B480721BC3AD}"/>
    <hyperlink ref="D6" r:id="rId6" display="https://etfdb.com/etf/SOYB/" xr:uid="{4D61924B-521D-45D1-8270-7EFB8302F1B4}"/>
    <hyperlink ref="D5" r:id="rId7" display="https://etfdb.com/etf/WEAT/" xr:uid="{975DF8CE-A9EE-4930-A632-109CF9CA839C}"/>
    <hyperlink ref="D12" r:id="rId8" display="https://etfdb.com/etf/EMB/" xr:uid="{675F7E55-2C91-4595-9D25-81579163E5D0}"/>
    <hyperlink ref="D13" r:id="rId9" display="https://etfdb.com/etf/BWX/" xr:uid="{8E8C2D82-7EA5-4B88-9EF0-DFE85024E203}"/>
    <hyperlink ref="D16" r:id="rId10" display="https://etfdb.com/etf/UCO/" xr:uid="{6EF76427-3D54-418E-86F5-074C55C8C44A}"/>
    <hyperlink ref="A17" r:id="rId11" display="https://etfdb.com/etf/UNG/" xr:uid="{24F27191-5B15-4E2B-A51E-9ACE07C45A5E}"/>
    <hyperlink ref="D17" r:id="rId12" display="https://etfdb.com/etf/UNG/" xr:uid="{35D056C9-4FA9-4F10-B731-ACBD4E95B78A}"/>
    <hyperlink ref="D18" r:id="rId13" display="https://etfdb.com/etf/BOIL/" xr:uid="{F209651E-CD45-4875-AF3E-C70686B1E979}"/>
    <hyperlink ref="A18" r:id="rId14" display="https://etfdb.com/etf/BOIL/" xr:uid="{C2393CEA-5525-4FAC-80F1-929E3275A753}"/>
    <hyperlink ref="D19" r:id="rId15" display="https://etfdb.com/etf/UGA/" xr:uid="{AD524EA3-F080-49B3-96AB-0EA6AA14D2BA}"/>
    <hyperlink ref="A19" r:id="rId16" display="https://etfdb.com/etf/UGA/" xr:uid="{28B740A3-F7E9-49AB-863B-5762305DA83B}"/>
    <hyperlink ref="D20" r:id="rId17" display="https://etfdb.com/etf/DBE/" xr:uid="{8EB67865-C8A1-4857-99CE-F9786FF051E2}"/>
    <hyperlink ref="D26" r:id="rId18" display="https://etfdb.com/etf/AIA/" xr:uid="{C145D7FE-B3D8-4632-B45B-54F17B828B35}"/>
    <hyperlink ref="D27" r:id="rId19" display="https://etfdb.com/etf/EWZ/" xr:uid="{90631C92-CF12-47D9-9C2B-811CCF8AB76C}"/>
    <hyperlink ref="D28" r:id="rId20" display="https://etfdb.com/etf/EWW/" xr:uid="{3AC5D35D-B829-4D2B-AF04-CC78CE9F1F5C}"/>
    <hyperlink ref="D29" r:id="rId21" display="https://etfdb.com/etf/ILF/" xr:uid="{E2C29E47-9DC7-4A5F-B45D-659E1963A9B3}"/>
    <hyperlink ref="D30" r:id="rId22" display="https://etfdb.com/etf/ECH/" xr:uid="{53AAD7B5-22AE-4490-B0FB-F093948C660B}"/>
    <hyperlink ref="D31" r:id="rId23" display="https://etfdb.com/etf/ARGT/" xr:uid="{D061C8E3-AD8F-4EF9-A6ED-BEC2FA08A226}"/>
    <hyperlink ref="D32" r:id="rId24" display="https://etfdb.com/etf/EPOL/" xr:uid="{49C94B19-B3C6-48C3-A5AD-7C5FCC321137}"/>
    <hyperlink ref="D33" r:id="rId25" display="https://etfdb.com/etf/TUR/" xr:uid="{9477B81A-4EA3-4C89-979B-C606A7B189C6}"/>
    <hyperlink ref="D35" r:id="rId26" display="https://etfdb.com/etf/MCHI/" xr:uid="{EEE2FB85-7ED9-4420-8120-EBF1CBACC156}"/>
    <hyperlink ref="A36" r:id="rId27" display="https://etfdb.com/etf/VGK/" xr:uid="{19096ACC-FD78-48E8-AA93-3EBFA18D1362}"/>
    <hyperlink ref="D36" r:id="rId28" display="https://etfdb.com/etf/VGK/" xr:uid="{B9AB2E7C-DDF8-4CE8-B270-17B06EAC4234}"/>
    <hyperlink ref="A37" r:id="rId29" display="https://etfdb.com/etf/EZU/" xr:uid="{F97C565C-0305-49C0-BD00-293F5C7F76B3}"/>
    <hyperlink ref="D37" r:id="rId30" display="https://etfdb.com/etf/EZU/" xr:uid="{FC2B4412-A970-45E5-889B-68087B5E4871}"/>
    <hyperlink ref="A38" r:id="rId31" display="https://etfdb.com/etf/FEZ/" xr:uid="{65E71573-891C-4FD4-A73B-A3A8A91875E6}"/>
    <hyperlink ref="D38" r:id="rId32" display="https://etfdb.com/etf/FEZ/" xr:uid="{DE287320-9B0C-4CCF-AEFC-D770DE7CA26F}"/>
    <hyperlink ref="A39" r:id="rId33" display="https://etfdb.com/etf/EWU/" xr:uid="{F244ABFA-FAAE-48EB-82C5-92487FF70303}"/>
    <hyperlink ref="D39" r:id="rId34" display="https://etfdb.com/etf/EWU/" xr:uid="{B16F4C7C-E7FB-4FEA-AE84-695EC400E5CC}"/>
    <hyperlink ref="A40" r:id="rId35" display="https://etfdb.com/etf/IEV/" xr:uid="{204103EB-0A9D-43ED-8F52-53C698CCF14B}"/>
    <hyperlink ref="D40" r:id="rId36" display="https://etfdb.com/etf/IEV/" xr:uid="{90A9D0AF-AEB4-4419-9C1A-47AD729C1158}"/>
    <hyperlink ref="A41" r:id="rId37" display="https://etfdb.com/etf/EWG/" xr:uid="{B0C3B4FA-F0E7-41C3-BCF5-E24B89328591}"/>
    <hyperlink ref="D41" r:id="rId38" display="https://etfdb.com/etf/EWG/" xr:uid="{B3BCFBC8-BA18-4C49-B4B0-7F174FFB9E3A}"/>
    <hyperlink ref="A42" r:id="rId39" display="https://etfdb.com/etf/EWL/" xr:uid="{7C56AD2B-5BA7-4C85-B01A-2054A08F933C}"/>
    <hyperlink ref="D42" r:id="rId40" display="https://etfdb.com/etf/EWL/" xr:uid="{5A25657C-AFEA-448E-8305-087E33A56672}"/>
    <hyperlink ref="A43" r:id="rId41" display="https://etfdb.com/etf/EWI/" xr:uid="{7B156256-BD56-4C53-9FD0-AB694700ABBC}"/>
    <hyperlink ref="D43" r:id="rId42" display="https://etfdb.com/etf/EWI/" xr:uid="{D9CAE0A9-E174-4093-8050-090A60B08929}"/>
    <hyperlink ref="A44" r:id="rId43" display="https://etfdb.com/etf/EWQ/" xr:uid="{B500D6E9-3988-4C01-B033-9704967C4548}"/>
    <hyperlink ref="D44" r:id="rId44" display="https://etfdb.com/etf/EWQ/" xr:uid="{87E6E33C-DCDF-407F-886C-BE2E9C4EE3B0}"/>
    <hyperlink ref="A45" r:id="rId45" display="https://etfdb.com/etf/EWD/" xr:uid="{5D5A8400-934F-4EBC-841F-1AD21CEFCACD}"/>
    <hyperlink ref="D45" r:id="rId46" display="https://etfdb.com/etf/EWD/" xr:uid="{5F7FB53F-3C1B-4A04-93FE-A168E28DD743}"/>
    <hyperlink ref="A46" r:id="rId47" display="https://etfdb.com/etf/GREK/" xr:uid="{5BDD7D4B-93AE-4A5E-8C7C-7FB8D9B15AD0}"/>
    <hyperlink ref="D46" r:id="rId48" display="https://etfdb.com/etf/GREK/" xr:uid="{4FED0378-CB04-4C8A-89BB-3B30C6115437}"/>
    <hyperlink ref="A47" r:id="rId49" display="https://etfdb.com/etf/EWN/" xr:uid="{E76C1E1F-2BD3-4EE0-A142-184824C10727}"/>
    <hyperlink ref="D47" r:id="rId50" display="https://etfdb.com/etf/EWN/" xr:uid="{5E62BE16-C7AB-4B93-A7A4-29CD6CF57F0D}"/>
    <hyperlink ref="A48" r:id="rId51" display="https://etfdb.com/etf/EWJ/" xr:uid="{03B4EF82-A3AA-46E2-A09F-FFF3C110224D}"/>
    <hyperlink ref="D48" r:id="rId52" display="https://etfdb.com/etf/EWJ/" xr:uid="{2153F300-205D-4D01-9852-C349AEFBC46E}"/>
    <hyperlink ref="A49" r:id="rId53" display="https://etfdb.com/etf/EWT/" xr:uid="{17BC6E43-63AD-4486-9E85-5932EBE607C8}"/>
    <hyperlink ref="D49" r:id="rId54" display="https://etfdb.com/etf/EWT/" xr:uid="{35F65A9B-EFC0-4C42-A5D4-1677519F02AE}"/>
    <hyperlink ref="A50" r:id="rId55" display="https://etfdb.com/etf/EWY/" xr:uid="{B006371E-436D-4543-BA00-BC5CB3094587}"/>
    <hyperlink ref="D50" r:id="rId56" display="https://etfdb.com/etf/EWY/" xr:uid="{0923B89D-F8D9-4EC0-A72B-F062AC7AA7E4}"/>
    <hyperlink ref="A51" r:id="rId57" display="https://etfdb.com/etf/EWA/" xr:uid="{17511C83-EB7C-4BB8-AC54-2E1589AAE825}"/>
    <hyperlink ref="D51" r:id="rId58" display="https://etfdb.com/etf/EWA/" xr:uid="{D4D3D6DC-D94A-421C-B3CE-46A9FDF63C6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B5C4DD3B212E43A14FB3A64C790204" ma:contentTypeVersion="3" ma:contentTypeDescription="Create a new document." ma:contentTypeScope="" ma:versionID="eb24cc6f950671381be2d8c1fc151144">
  <xsd:schema xmlns:xsd="http://www.w3.org/2001/XMLSchema" xmlns:xs="http://www.w3.org/2001/XMLSchema" xmlns:p="http://schemas.microsoft.com/office/2006/metadata/properties" xmlns:ns2="755cec01-79ad-4458-8fe5-2d3b88ca049e" targetNamespace="http://schemas.microsoft.com/office/2006/metadata/properties" ma:root="true" ma:fieldsID="5baed9eb591683eef6b4f9bb6ce311b4" ns2:_="">
    <xsd:import namespace="755cec01-79ad-4458-8fe5-2d3b88ca04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5cec01-79ad-4458-8fe5-2d3b88ca04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B222D3-9E71-496B-B026-11C795945B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AE3A74-229A-429C-9065-E556A61594F9}">
  <ds:schemaRefs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55cec01-79ad-4458-8fe5-2d3b88ca049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65A7E9E-A2B7-46ED-B345-9191039DD6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5cec01-79ad-4458-8fe5-2d3b88ca0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PVT</vt:lpstr>
      <vt:lpstr>Asset_list</vt:lpstr>
      <vt:lpstr>yahooData</vt:lpstr>
      <vt:lpstr>selection3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Nuno Pedro Mota Ricardo</cp:lastModifiedBy>
  <cp:revision/>
  <dcterms:created xsi:type="dcterms:W3CDTF">2006-09-16T00:00:00Z</dcterms:created>
  <dcterms:modified xsi:type="dcterms:W3CDTF">2025-10-11T19:30:56Z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0x01010095B5C4DD3B212E43A14FB3A64C790204</vt:lpwstr>
  </property>
</Properties>
</file>