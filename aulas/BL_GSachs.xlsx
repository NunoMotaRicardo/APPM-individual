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 Bravo\Desktop\Teaching\Asset Pricing Portfolio Theory\Handouts\"/>
    </mc:Choice>
  </mc:AlternateContent>
  <xr:revisionPtr revIDLastSave="0" documentId="13_ncr:1_{FDCA665B-8776-4B1D-AF0B-5F5BA1F1E57F}" xr6:coauthVersionLast="47" xr6:coauthVersionMax="47" xr10:uidLastSave="{00000000-0000-0000-0000-000000000000}"/>
  <bookViews>
    <workbookView xWindow="-108" yWindow="-108" windowWidth="23256" windowHeight="12456" xr2:uid="{080AEFA2-77A5-44B8-99F4-175F65CA0BDF}"/>
  </bookViews>
  <sheets>
    <sheet name="BL Goldman Sachs paper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2" l="1"/>
  <c r="G20" i="2" a="1"/>
  <c r="G20" i="2" s="1"/>
  <c r="F19" i="2" a="1"/>
  <c r="F19" i="2" s="1"/>
  <c r="E18" i="2" a="1"/>
  <c r="E18" i="2" s="1"/>
  <c r="D17" i="2" a="1"/>
  <c r="D17" i="2" s="1"/>
  <c r="C16" i="2" a="1"/>
  <c r="C16" i="2" s="1"/>
  <c r="B15" i="2" a="1"/>
  <c r="B15" i="2" s="1"/>
  <c r="B69" i="2" a="1"/>
  <c r="B69" i="2" s="1"/>
  <c r="E47" i="2"/>
  <c r="K52" i="2" s="1"/>
  <c r="D46" i="2"/>
  <c r="J51" i="2" s="1"/>
  <c r="I45" i="2"/>
  <c r="C45" i="2"/>
  <c r="I50" i="2" s="1"/>
  <c r="H44" i="2"/>
  <c r="B44" i="2"/>
  <c r="H49" i="2" s="1"/>
  <c r="E41" i="2"/>
  <c r="E46" i="2" s="1"/>
  <c r="E40" i="2"/>
  <c r="E45" i="2" s="1"/>
  <c r="D40" i="2"/>
  <c r="D45" i="2" s="1"/>
  <c r="C46" i="2" s="1"/>
  <c r="I51" i="2" s="1"/>
  <c r="E39" i="2"/>
  <c r="E44" i="2" s="1"/>
  <c r="K49" i="2" s="1"/>
  <c r="D39" i="2"/>
  <c r="D44" i="2" s="1"/>
  <c r="C39" i="2"/>
  <c r="C44" i="2" s="1"/>
  <c r="I49" i="2" s="1"/>
  <c r="F15" i="2" l="1"/>
  <c r="E15" i="2"/>
  <c r="H15" i="2"/>
  <c r="D15" i="2"/>
  <c r="C15" i="2"/>
  <c r="G15" i="2"/>
  <c r="K50" i="2"/>
  <c r="C47" i="2"/>
  <c r="I52" i="2" s="1"/>
  <c r="L44" i="2" a="1"/>
  <c r="L45" i="2" s="1"/>
  <c r="K51" i="2"/>
  <c r="D47" i="2"/>
  <c r="J52" i="2" s="1"/>
  <c r="B46" i="2"/>
  <c r="J49" i="2"/>
  <c r="B47" i="2"/>
  <c r="H52" i="2" s="1"/>
  <c r="J50" i="2"/>
  <c r="C65" i="2"/>
  <c r="B45" i="2"/>
  <c r="M45" i="2" l="1"/>
  <c r="M44" i="2"/>
  <c r="L44" i="2"/>
  <c r="C66" i="2"/>
  <c r="H50" i="2"/>
  <c r="B49" i="2" a="1"/>
  <c r="B49" i="2" s="1"/>
  <c r="B50" i="2" s="1"/>
  <c r="H51" i="2"/>
  <c r="C67" i="2"/>
  <c r="H54" i="2" l="1" a="1"/>
  <c r="I55" i="2" s="1"/>
  <c r="B53" i="2"/>
  <c r="B56" i="2" s="1" a="1"/>
  <c r="B65" i="2"/>
  <c r="K57" i="2" l="1"/>
  <c r="H54" i="2"/>
  <c r="I57" i="2"/>
  <c r="J54" i="2"/>
  <c r="H56" i="2"/>
  <c r="J56" i="2"/>
  <c r="K56" i="2"/>
  <c r="K55" i="2"/>
  <c r="H55" i="2"/>
  <c r="I54" i="2"/>
  <c r="H57" i="2"/>
  <c r="I56" i="2"/>
  <c r="J55" i="2"/>
  <c r="K54" i="2"/>
  <c r="J57" i="2"/>
  <c r="E65" i="2"/>
  <c r="C69" i="2" s="1"/>
  <c r="E69" i="2" s="1"/>
  <c r="E66" i="2"/>
  <c r="C70" i="2" s="1"/>
  <c r="E70" i="2" s="1"/>
  <c r="B75" i="2" s="1"/>
  <c r="E67" i="2"/>
  <c r="C71" i="2" s="1"/>
  <c r="E71" i="2" s="1"/>
  <c r="B76" i="2" s="1"/>
  <c r="B56" i="2"/>
  <c r="C58" i="2"/>
  <c r="H59" i="2" l="1" a="1"/>
  <c r="K60" i="2" s="1"/>
  <c r="B74" i="2"/>
  <c r="E72" i="2"/>
  <c r="H59" i="2" l="1"/>
  <c r="J60" i="2"/>
  <c r="J62" i="2"/>
  <c r="I61" i="2"/>
  <c r="K61" i="2"/>
  <c r="J59" i="2"/>
  <c r="I59" i="2"/>
  <c r="K59" i="2"/>
  <c r="I60" i="2"/>
  <c r="J61" i="2"/>
  <c r="K62" i="2"/>
  <c r="H60" i="2"/>
  <c r="I62" i="2"/>
  <c r="H61" i="2"/>
  <c r="H6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<sst xmlns="http://schemas.openxmlformats.org/spreadsheetml/2006/main" count="60" uniqueCount="51">
  <si>
    <t>Assets</t>
  </si>
  <si>
    <t>A</t>
  </si>
  <si>
    <t>B</t>
  </si>
  <si>
    <t>C</t>
  </si>
  <si>
    <t>D</t>
  </si>
  <si>
    <t>Volatilty (SD)</t>
  </si>
  <si>
    <t>P</t>
  </si>
  <si>
    <t>Weights (x)</t>
  </si>
  <si>
    <t>Expected returns (mu)</t>
  </si>
  <si>
    <t>Correlation</t>
  </si>
  <si>
    <t>Q</t>
  </si>
  <si>
    <r>
      <t>Sigma (</t>
    </r>
    <r>
      <rPr>
        <sz val="11"/>
        <color theme="1"/>
        <rFont val="Symbol"/>
        <family val="1"/>
        <charset val="2"/>
      </rPr>
      <t>S</t>
    </r>
    <r>
      <rPr>
        <sz val="11"/>
        <color theme="1"/>
        <rFont val="Calibri"/>
        <family val="2"/>
        <scheme val="minor"/>
      </rPr>
      <t>)</t>
    </r>
  </si>
  <si>
    <t>OMEGA</t>
  </si>
  <si>
    <r>
      <t>OMEGA</t>
    </r>
    <r>
      <rPr>
        <b/>
        <vertAlign val="superscript"/>
        <sz val="12.1"/>
        <color theme="1"/>
        <rFont val="Calibri Light"/>
        <family val="2"/>
      </rPr>
      <t>-1</t>
    </r>
  </si>
  <si>
    <t>(%)</t>
  </si>
  <si>
    <r>
      <rPr>
        <sz val="11"/>
        <color theme="1"/>
        <rFont val="Symbol"/>
        <family val="1"/>
        <charset val="2"/>
      </rPr>
      <t>s</t>
    </r>
    <r>
      <rPr>
        <sz val="11"/>
        <color theme="1"/>
        <rFont val="Calibri Light"/>
        <family val="2"/>
        <scheme val="major"/>
      </rPr>
      <t>i</t>
    </r>
    <r>
      <rPr>
        <sz val="11"/>
        <color theme="1"/>
        <rFont val="Calibri"/>
        <family val="2"/>
        <scheme val="minor"/>
      </rPr>
      <t xml:space="preserve">,j = </t>
    </r>
    <r>
      <rPr>
        <sz val="11"/>
        <color theme="1"/>
        <rFont val="Symbol"/>
        <family val="1"/>
        <charset val="2"/>
      </rPr>
      <t>r</t>
    </r>
    <r>
      <rPr>
        <sz val="11"/>
        <color theme="1"/>
        <rFont val="Calibri"/>
        <family val="2"/>
        <scheme val="minor"/>
      </rPr>
      <t>i,j *</t>
    </r>
    <r>
      <rPr>
        <sz val="11"/>
        <color theme="1"/>
        <rFont val="Symbol"/>
        <family val="1"/>
        <charset val="2"/>
      </rPr>
      <t>s</t>
    </r>
    <r>
      <rPr>
        <sz val="11"/>
        <color theme="1"/>
        <rFont val="Calibri"/>
        <family val="2"/>
        <scheme val="minor"/>
      </rPr>
      <t xml:space="preserve">i </t>
    </r>
    <r>
      <rPr>
        <sz val="11"/>
        <color theme="1"/>
        <rFont val="Symbol"/>
        <family val="1"/>
        <charset val="2"/>
      </rPr>
      <t>s</t>
    </r>
    <r>
      <rPr>
        <sz val="11"/>
        <color theme="1"/>
        <rFont val="Calibri"/>
        <family val="2"/>
        <scheme val="minor"/>
      </rPr>
      <t>j</t>
    </r>
  </si>
  <si>
    <t>tau</t>
  </si>
  <si>
    <t>Portfolio variance</t>
  </si>
  <si>
    <t>G</t>
  </si>
  <si>
    <r>
      <t>Portfolio SD (</t>
    </r>
    <r>
      <rPr>
        <sz val="11"/>
        <color theme="1"/>
        <rFont val="Symbol"/>
        <family val="1"/>
        <charset val="2"/>
      </rPr>
      <t>s</t>
    </r>
    <r>
      <rPr>
        <sz val="11"/>
        <color theme="1"/>
        <rFont val="Calibri"/>
        <family val="2"/>
        <scheme val="minor"/>
      </rPr>
      <t>)</t>
    </r>
  </si>
  <si>
    <t>Target Sharpe ratio</t>
  </si>
  <si>
    <t>Risk-aversion coefficient</t>
  </si>
  <si>
    <t>risk-free rate</t>
  </si>
  <si>
    <r>
      <rPr>
        <b/>
        <sz val="11"/>
        <color theme="1"/>
        <rFont val="Symbol"/>
        <family val="1"/>
        <charset val="2"/>
      </rPr>
      <t>G</t>
    </r>
    <r>
      <rPr>
        <b/>
        <vertAlign val="superscript"/>
        <sz val="11"/>
        <color theme="1"/>
        <rFont val="Calibri"/>
        <family val="2"/>
      </rPr>
      <t>-1</t>
    </r>
  </si>
  <si>
    <t>Returns optimal allocation</t>
  </si>
  <si>
    <t>Margin volat</t>
  </si>
  <si>
    <t>=</t>
  </si>
  <si>
    <r>
      <t>MRC=(1/</t>
    </r>
    <r>
      <rPr>
        <sz val="11"/>
        <color theme="1"/>
        <rFont val="Symbol"/>
        <family val="1"/>
        <charset val="2"/>
      </rPr>
      <t>s</t>
    </r>
    <r>
      <rPr>
        <sz val="11"/>
        <color theme="1"/>
        <rFont val="Calibri"/>
        <family val="2"/>
        <scheme val="minor"/>
      </rPr>
      <t>)*</t>
    </r>
    <r>
      <rPr>
        <sz val="11"/>
        <color theme="1"/>
        <rFont val="Symbol"/>
        <family val="1"/>
        <charset val="2"/>
      </rPr>
      <t>S</t>
    </r>
    <r>
      <rPr>
        <sz val="11"/>
        <color theme="1"/>
        <rFont val="Calibri"/>
        <family val="2"/>
        <scheme val="minor"/>
      </rPr>
      <t>x</t>
    </r>
  </si>
  <si>
    <t>Risk contrib</t>
  </si>
  <si>
    <t>RC=x*MRC</t>
  </si>
  <si>
    <t>sum</t>
  </si>
  <si>
    <r>
      <t>RRC=RC/</t>
    </r>
    <r>
      <rPr>
        <sz val="11"/>
        <color theme="1"/>
        <rFont val="Symbol"/>
        <family val="1"/>
        <charset val="2"/>
      </rPr>
      <t>s</t>
    </r>
  </si>
  <si>
    <t>Country</t>
  </si>
  <si>
    <t>Equity Index</t>
  </si>
  <si>
    <t>Volatility (%)</t>
  </si>
  <si>
    <t>Equilibrium Portfolio</t>
  </si>
  <si>
    <t>Weight (%)</t>
  </si>
  <si>
    <t>Equilibrium Expected</t>
  </si>
  <si>
    <t>Returns (%)</t>
  </si>
  <si>
    <t>Australia</t>
  </si>
  <si>
    <t>Canada</t>
  </si>
  <si>
    <t>France</t>
  </si>
  <si>
    <t>Germany</t>
  </si>
  <si>
    <t>Japan</t>
  </si>
  <si>
    <t>UK</t>
  </si>
  <si>
    <t>USA</t>
  </si>
  <si>
    <t>vol</t>
  </si>
  <si>
    <t>w</t>
  </si>
  <si>
    <t>ER</t>
  </si>
  <si>
    <t>Annualized volatilities, market-capitalization weights, and equilibrium expected returns for the equity markets in the seven countries</t>
  </si>
  <si>
    <t>Correlations among the equity index returns.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</si>
</sst>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0.0000"/>
    <numFmt numFmtId="166" formatCode="0.000"/>
    <numFmt numFmtId="167" formatCode="0.0000%"/>
    <numFmt numFmtId="168" formatCode="0.0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theme="1"/>
      <name val="Symbol"/>
      <family val="1"/>
      <charset val="2"/>
    </font>
    <font>
      <b/>
      <sz val="11"/>
      <color theme="1"/>
      <name val="Calibri Light"/>
      <family val="2"/>
      <scheme val="major"/>
    </font>
    <font>
      <b/>
      <vertAlign val="superscript"/>
      <sz val="12.1"/>
      <color theme="1"/>
      <name val="Calibri Light"/>
      <family val="2"/>
    </font>
    <font>
      <sz val="11"/>
      <color theme="1"/>
      <name val="Calibri"/>
      <family val="1"/>
      <charset val="2"/>
      <scheme val="minor"/>
    </font>
    <font>
      <sz val="11"/>
      <color theme="1"/>
      <name val="Calibri Light"/>
      <family val="2"/>
      <scheme val="major"/>
    </font>
    <font>
      <b/>
      <sz val="11"/>
      <color theme="1"/>
      <name val="Symbol"/>
      <family val="1"/>
      <charset val="2"/>
    </font>
    <font>
      <b/>
      <sz val="11"/>
      <color theme="1"/>
      <name val="Calibri"/>
      <family val="1"/>
      <charset val="2"/>
    </font>
    <font>
      <b/>
      <vertAlign val="superscript"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9" fontId="0" fillId="2" borderId="0" xfId="0" applyNumberFormat="1" applyFill="1"/>
    <xf numFmtId="0" fontId="0" fillId="3" borderId="0" xfId="0" applyFill="1" applyAlignment="1">
      <alignment horizontal="center"/>
    </xf>
    <xf numFmtId="9" fontId="4" fillId="0" borderId="0" xfId="0" applyNumberFormat="1" applyFont="1"/>
    <xf numFmtId="164" fontId="0" fillId="0" borderId="0" xfId="0" applyNumberFormat="1"/>
    <xf numFmtId="0" fontId="0" fillId="3" borderId="0" xfId="0" applyFill="1"/>
    <xf numFmtId="9" fontId="0" fillId="3" borderId="0" xfId="0" applyNumberFormat="1" applyFill="1" applyAlignment="1">
      <alignment horizontal="center"/>
    </xf>
    <xf numFmtId="10" fontId="0" fillId="4" borderId="0" xfId="1" applyNumberFormat="1" applyFont="1" applyFill="1"/>
    <xf numFmtId="0" fontId="6" fillId="0" borderId="0" xfId="0" applyFont="1" applyAlignment="1">
      <alignment horizontal="center"/>
    </xf>
    <xf numFmtId="165" fontId="0" fillId="3" borderId="0" xfId="1" applyNumberFormat="1" applyFont="1" applyFill="1" applyAlignment="1">
      <alignment horizontal="center"/>
    </xf>
    <xf numFmtId="165" fontId="0" fillId="3" borderId="0" xfId="0" applyNumberFormat="1" applyFill="1" applyAlignment="1">
      <alignment horizontal="center"/>
    </xf>
    <xf numFmtId="0" fontId="0" fillId="3" borderId="0" xfId="1" applyNumberFormat="1" applyFont="1" applyFill="1" applyAlignment="1">
      <alignment horizontal="center"/>
    </xf>
    <xf numFmtId="0" fontId="8" fillId="0" borderId="0" xfId="0" applyFont="1"/>
    <xf numFmtId="10" fontId="0" fillId="0" borderId="0" xfId="1" applyNumberFormat="1" applyFont="1"/>
    <xf numFmtId="0" fontId="10" fillId="0" borderId="0" xfId="0" applyFont="1"/>
    <xf numFmtId="10" fontId="0" fillId="3" borderId="0" xfId="1" applyNumberFormat="1" applyFont="1" applyFill="1"/>
    <xf numFmtId="9" fontId="0" fillId="0" borderId="0" xfId="1" applyFont="1"/>
    <xf numFmtId="166" fontId="0" fillId="0" borderId="0" xfId="1" applyNumberFormat="1" applyFont="1"/>
    <xf numFmtId="0" fontId="11" fillId="0" borderId="0" xfId="0" applyFont="1"/>
    <xf numFmtId="2" fontId="0" fillId="0" borderId="0" xfId="0" applyNumberFormat="1" applyAlignment="1">
      <alignment horizontal="center"/>
    </xf>
    <xf numFmtId="10" fontId="0" fillId="5" borderId="0" xfId="1" applyNumberFormat="1" applyFont="1" applyFill="1"/>
    <xf numFmtId="10" fontId="0" fillId="0" borderId="0" xfId="0" applyNumberFormat="1"/>
    <xf numFmtId="167" fontId="0" fillId="6" borderId="0" xfId="1" applyNumberFormat="1" applyFont="1" applyFill="1"/>
    <xf numFmtId="0" fontId="0" fillId="0" borderId="0" xfId="0" quotePrefix="1" applyAlignment="1">
      <alignment horizontal="center"/>
    </xf>
    <xf numFmtId="9" fontId="0" fillId="0" borderId="0" xfId="1" applyFont="1" applyAlignment="1">
      <alignment horizontal="center"/>
    </xf>
    <xf numFmtId="167" fontId="0" fillId="0" borderId="0" xfId="0" applyNumberFormat="1"/>
    <xf numFmtId="167" fontId="0" fillId="5" borderId="0" xfId="0" applyNumberFormat="1" applyFill="1"/>
    <xf numFmtId="167" fontId="2" fillId="0" borderId="0" xfId="0" applyNumberFormat="1" applyFont="1"/>
    <xf numFmtId="167" fontId="0" fillId="7" borderId="0" xfId="0" applyNumberFormat="1" applyFill="1"/>
    <xf numFmtId="0" fontId="3" fillId="0" borderId="0" xfId="0" applyFont="1"/>
    <xf numFmtId="0" fontId="3" fillId="3" borderId="0" xfId="0" applyFont="1" applyFill="1"/>
    <xf numFmtId="0" fontId="3" fillId="3" borderId="0" xfId="0" applyFont="1" applyFill="1" applyAlignment="1">
      <alignment horizontal="center"/>
    </xf>
    <xf numFmtId="168" fontId="0" fillId="0" borderId="0" xfId="0" applyNumberForma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53</xdr:row>
      <xdr:rowOff>0</xdr:rowOff>
    </xdr:from>
    <xdr:to>
      <xdr:col>17</xdr:col>
      <xdr:colOff>388620</xdr:colOff>
      <xdr:row>56</xdr:row>
      <xdr:rowOff>106679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C4DC91-5953-4831-A914-505BEDBFF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22920" y="3695700"/>
          <a:ext cx="3436620" cy="6781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443345</xdr:colOff>
      <xdr:row>14</xdr:row>
      <xdr:rowOff>1598</xdr:rowOff>
    </xdr:from>
    <xdr:to>
      <xdr:col>18</xdr:col>
      <xdr:colOff>117764</xdr:colOff>
      <xdr:row>23</xdr:row>
      <xdr:rowOff>97863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3CEEBB-D682-73CF-B3DF-DC6275F22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6509" y="2523125"/>
          <a:ext cx="5715000" cy="17172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408708</xdr:colOff>
      <xdr:row>1</xdr:row>
      <xdr:rowOff>57754</xdr:rowOff>
    </xdr:from>
    <xdr:to>
      <xdr:col>17</xdr:col>
      <xdr:colOff>540328</xdr:colOff>
      <xdr:row>12</xdr:row>
      <xdr:rowOff>179600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7C36C7E-5C4C-1B5E-1BC5-84B3FCCCA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1872" y="237863"/>
          <a:ext cx="5562601" cy="21030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A96CE-D84B-44F4-B73B-A51B543BB82B}">
  <dimension ref="A1:M76"/>
  <sheetViews>
    <sheetView tabSelected="1" zoomScale="110" zoomScaleNormal="110" workbookViewId="0">
      <selection activeCell="T7" sqref="T7"/>
    </sheetView>
  </sheetViews>
  <sheetFormatPr defaultRowHeight="14.4"/>
  <cols>
    <col min="1" max="1" width="11.109375" customWidth="1"/>
    <col min="2" max="7" width="9.33203125" customWidth="1"/>
    <col min="8" max="8" width="9.33203125" style="3" customWidth="1"/>
    <col min="9" max="10" width="8" style="3" customWidth="1"/>
    <col min="11" max="11" width="9.88671875" style="3" customWidth="1"/>
  </cols>
  <sheetData>
    <row r="1" spans="1:8">
      <c r="A1" s="32" t="s">
        <v>49</v>
      </c>
    </row>
    <row r="3" spans="1:8">
      <c r="B3" t="s">
        <v>33</v>
      </c>
      <c r="C3" t="s">
        <v>35</v>
      </c>
      <c r="D3" t="s">
        <v>37</v>
      </c>
    </row>
    <row r="4" spans="1:8">
      <c r="B4" t="s">
        <v>34</v>
      </c>
      <c r="C4" t="s">
        <v>36</v>
      </c>
      <c r="D4" t="s">
        <v>38</v>
      </c>
    </row>
    <row r="5" spans="1:8">
      <c r="A5" s="33" t="s">
        <v>32</v>
      </c>
      <c r="B5" s="34" t="s">
        <v>46</v>
      </c>
      <c r="C5" s="34" t="s">
        <v>47</v>
      </c>
      <c r="D5" s="34" t="s">
        <v>48</v>
      </c>
    </row>
    <row r="6" spans="1:8">
      <c r="A6" s="8" t="s">
        <v>39</v>
      </c>
      <c r="B6" s="35">
        <v>16</v>
      </c>
      <c r="C6" s="35">
        <v>1.6</v>
      </c>
      <c r="D6" s="35">
        <v>3.9</v>
      </c>
    </row>
    <row r="7" spans="1:8">
      <c r="A7" s="8" t="s">
        <v>40</v>
      </c>
      <c r="B7" s="35">
        <v>20.3</v>
      </c>
      <c r="C7" s="35">
        <v>2.2000000000000002</v>
      </c>
      <c r="D7" s="35">
        <v>6.9</v>
      </c>
    </row>
    <row r="8" spans="1:8">
      <c r="A8" s="8" t="s">
        <v>41</v>
      </c>
      <c r="B8" s="35">
        <v>24.8</v>
      </c>
      <c r="C8" s="35">
        <v>5.2</v>
      </c>
      <c r="D8" s="35">
        <v>8.4</v>
      </c>
    </row>
    <row r="9" spans="1:8">
      <c r="A9" s="8" t="s">
        <v>42</v>
      </c>
      <c r="B9" s="35">
        <v>27.1</v>
      </c>
      <c r="C9" s="35">
        <v>5.5</v>
      </c>
      <c r="D9" s="35">
        <v>9</v>
      </c>
    </row>
    <row r="10" spans="1:8">
      <c r="A10" s="8" t="s">
        <v>43</v>
      </c>
      <c r="B10" s="35">
        <v>21</v>
      </c>
      <c r="C10" s="35">
        <v>11.6</v>
      </c>
      <c r="D10" s="35">
        <v>4.3</v>
      </c>
    </row>
    <row r="11" spans="1:8">
      <c r="A11" s="8" t="s">
        <v>44</v>
      </c>
      <c r="B11" s="35">
        <v>20</v>
      </c>
      <c r="C11" s="35">
        <v>12.4</v>
      </c>
      <c r="D11" s="35">
        <v>6.8</v>
      </c>
    </row>
    <row r="12" spans="1:8">
      <c r="A12" s="8" t="s">
        <v>45</v>
      </c>
      <c r="B12" s="35">
        <v>18.7</v>
      </c>
      <c r="C12" s="35">
        <v>61.5</v>
      </c>
      <c r="D12" s="35">
        <v>7.6</v>
      </c>
    </row>
    <row r="14" spans="1:8">
      <c r="A14" s="32" t="s">
        <v>50</v>
      </c>
    </row>
    <row r="15" spans="1:8">
      <c r="B15" s="5" t="str">
        <f t="array" ref="B15:H15">TRANSPOSE(A16:A22)</f>
        <v>Australia</v>
      </c>
      <c r="C15" s="5" t="str">
        <v>Canada</v>
      </c>
      <c r="D15" s="5" t="str">
        <v>France</v>
      </c>
      <c r="E15" s="5" t="str">
        <v>Germany</v>
      </c>
      <c r="F15" s="5" t="str">
        <v>Japan</v>
      </c>
      <c r="G15" s="5" t="str">
        <v>UK</v>
      </c>
      <c r="H15" s="5" t="str">
        <v>USA</v>
      </c>
    </row>
    <row r="16" spans="1:8">
      <c r="A16" s="8" t="s">
        <v>39</v>
      </c>
      <c r="B16" s="3">
        <v>1</v>
      </c>
      <c r="C16" s="3" cm="1">
        <f t="array" ref="C16:H16">TRANSPOSE(B17:B22)</f>
        <v>0.48799999999999999</v>
      </c>
      <c r="D16" s="3">
        <v>0.47799999999999998</v>
      </c>
      <c r="E16" s="3">
        <v>0.51500000000000001</v>
      </c>
      <c r="F16" s="3">
        <v>0.439</v>
      </c>
      <c r="G16" s="3">
        <v>0.51200000000000001</v>
      </c>
      <c r="H16" s="3">
        <v>0.49099999999999999</v>
      </c>
    </row>
    <row r="17" spans="1:8">
      <c r="A17" s="8" t="s">
        <v>40</v>
      </c>
      <c r="B17" s="3">
        <v>0.48799999999999999</v>
      </c>
      <c r="C17" s="3">
        <v>1</v>
      </c>
      <c r="D17" s="3" cm="1">
        <f t="array" ref="D17:H17">TRANSPOSE(C18:C22)</f>
        <v>0.66400000000000003</v>
      </c>
      <c r="E17" s="3">
        <v>0.65500000000000003</v>
      </c>
      <c r="F17" s="3">
        <v>0.31</v>
      </c>
      <c r="G17" s="3">
        <v>0.60799999999999998</v>
      </c>
      <c r="H17" s="3">
        <v>0.77900000000000003</v>
      </c>
    </row>
    <row r="18" spans="1:8">
      <c r="A18" s="8" t="s">
        <v>41</v>
      </c>
      <c r="B18" s="3">
        <v>0.47799999999999998</v>
      </c>
      <c r="C18" s="3">
        <v>0.66400000000000003</v>
      </c>
      <c r="D18" s="3">
        <v>1</v>
      </c>
      <c r="E18" s="3" cm="1">
        <f t="array" ref="E18:H18">TRANSPOSE(D19:D22)</f>
        <v>0.86099999999999999</v>
      </c>
      <c r="F18" s="3">
        <v>0.35499999999999998</v>
      </c>
      <c r="G18" s="3">
        <v>0.78300000000000003</v>
      </c>
      <c r="H18" s="3">
        <v>0.66800000000000004</v>
      </c>
    </row>
    <row r="19" spans="1:8">
      <c r="A19" s="8" t="s">
        <v>42</v>
      </c>
      <c r="B19" s="3">
        <v>0.51500000000000001</v>
      </c>
      <c r="C19" s="3">
        <v>0.65500000000000003</v>
      </c>
      <c r="D19" s="3">
        <v>0.86099999999999999</v>
      </c>
      <c r="E19" s="3">
        <v>1</v>
      </c>
      <c r="F19" s="3" cm="1">
        <f t="array" ref="F19:H19">TRANSPOSE(E20:E22)</f>
        <v>0.35399999999999998</v>
      </c>
      <c r="G19" s="3">
        <v>0.77700000000000002</v>
      </c>
      <c r="H19" s="3">
        <v>0.65300000000000002</v>
      </c>
    </row>
    <row r="20" spans="1:8">
      <c r="A20" s="8" t="s">
        <v>43</v>
      </c>
      <c r="B20" s="3">
        <v>0.439</v>
      </c>
      <c r="C20" s="3">
        <v>0.31</v>
      </c>
      <c r="D20" s="3">
        <v>0.35499999999999998</v>
      </c>
      <c r="E20" s="3">
        <v>0.35399999999999998</v>
      </c>
      <c r="F20" s="3">
        <v>1</v>
      </c>
      <c r="G20" s="3" cm="1">
        <f t="array" ref="G20:H20">TRANSPOSE(F21:F22)</f>
        <v>0.40500000000000003</v>
      </c>
      <c r="H20" s="3">
        <v>0.30599999999999999</v>
      </c>
    </row>
    <row r="21" spans="1:8">
      <c r="A21" s="8" t="s">
        <v>44</v>
      </c>
      <c r="B21" s="3">
        <v>0.51200000000000001</v>
      </c>
      <c r="C21" s="3">
        <v>0.60799999999999998</v>
      </c>
      <c r="D21" s="3">
        <v>0.78300000000000003</v>
      </c>
      <c r="E21" s="3">
        <v>0.77700000000000002</v>
      </c>
      <c r="F21" s="3">
        <v>0.40500000000000003</v>
      </c>
      <c r="G21" s="3">
        <v>1</v>
      </c>
      <c r="H21" s="3">
        <f>G22</f>
        <v>0.65200000000000002</v>
      </c>
    </row>
    <row r="22" spans="1:8">
      <c r="A22" s="8" t="s">
        <v>45</v>
      </c>
      <c r="B22" s="3">
        <v>0.49099999999999999</v>
      </c>
      <c r="C22" s="3">
        <v>0.77900000000000003</v>
      </c>
      <c r="D22" s="3">
        <v>0.66800000000000004</v>
      </c>
      <c r="E22" s="3">
        <v>0.65300000000000002</v>
      </c>
      <c r="F22" s="3">
        <v>0.30599999999999999</v>
      </c>
      <c r="G22" s="3">
        <v>0.65200000000000002</v>
      </c>
      <c r="H22" s="3">
        <v>1</v>
      </c>
    </row>
    <row r="23" spans="1:8">
      <c r="B23" s="3"/>
      <c r="C23" s="3"/>
      <c r="D23" s="3"/>
      <c r="E23" s="3"/>
      <c r="F23" s="3"/>
      <c r="G23" s="3"/>
    </row>
    <row r="34" spans="1:13">
      <c r="A34" s="1" t="s">
        <v>0</v>
      </c>
      <c r="B34" s="2" t="s">
        <v>1</v>
      </c>
      <c r="C34" s="2" t="s">
        <v>2</v>
      </c>
      <c r="D34" s="2" t="s">
        <v>3</v>
      </c>
      <c r="E34" s="2" t="s">
        <v>4</v>
      </c>
    </row>
    <row r="35" spans="1:13">
      <c r="A35" s="1" t="s">
        <v>5</v>
      </c>
      <c r="B35" s="4">
        <v>0.15</v>
      </c>
      <c r="C35" s="4">
        <v>0.2</v>
      </c>
      <c r="D35" s="4">
        <v>0.25</v>
      </c>
      <c r="E35" s="4">
        <v>0.3</v>
      </c>
      <c r="G35" s="2" t="s">
        <v>6</v>
      </c>
      <c r="H35" s="5">
        <v>1</v>
      </c>
      <c r="I35" s="5">
        <v>0</v>
      </c>
      <c r="J35" s="5">
        <v>0</v>
      </c>
      <c r="K35" s="5">
        <v>0</v>
      </c>
    </row>
    <row r="36" spans="1:13">
      <c r="A36" s="1" t="s">
        <v>7</v>
      </c>
      <c r="B36" s="6">
        <v>0.4</v>
      </c>
      <c r="C36" s="6">
        <v>0.3</v>
      </c>
      <c r="D36" s="6">
        <v>0.2</v>
      </c>
      <c r="E36" s="6">
        <v>0.1</v>
      </c>
      <c r="H36" s="5">
        <v>0</v>
      </c>
      <c r="I36" s="5">
        <v>1</v>
      </c>
      <c r="J36" s="5">
        <v>-1</v>
      </c>
      <c r="K36" s="5">
        <v>0</v>
      </c>
    </row>
    <row r="37" spans="1:13">
      <c r="A37" s="1" t="s">
        <v>8</v>
      </c>
      <c r="B37" s="7">
        <v>0.05</v>
      </c>
      <c r="C37" s="7">
        <v>0.06</v>
      </c>
      <c r="D37" s="7">
        <v>0.08</v>
      </c>
      <c r="E37" s="7">
        <v>0.06</v>
      </c>
    </row>
    <row r="38" spans="1:13">
      <c r="G38" s="2" t="s">
        <v>6</v>
      </c>
      <c r="H38" s="5">
        <v>1</v>
      </c>
      <c r="I38" s="5">
        <v>0</v>
      </c>
      <c r="J38" s="5">
        <v>0</v>
      </c>
      <c r="K38" s="5">
        <v>0</v>
      </c>
    </row>
    <row r="39" spans="1:13">
      <c r="A39" t="s">
        <v>9</v>
      </c>
      <c r="B39" s="8">
        <v>1</v>
      </c>
      <c r="C39" s="8">
        <f>B40</f>
        <v>0.1</v>
      </c>
      <c r="D39" s="8">
        <f>B41</f>
        <v>0.4</v>
      </c>
      <c r="E39" s="8">
        <f>B42</f>
        <v>0.5</v>
      </c>
      <c r="H39" s="5">
        <v>0</v>
      </c>
      <c r="I39" s="5">
        <v>1</v>
      </c>
      <c r="J39" s="5">
        <v>-1</v>
      </c>
      <c r="K39" s="5">
        <v>0</v>
      </c>
    </row>
    <row r="40" spans="1:13">
      <c r="B40" s="8">
        <v>0.1</v>
      </c>
      <c r="C40" s="8">
        <v>1</v>
      </c>
      <c r="D40" s="8">
        <f>C41</f>
        <v>0.7</v>
      </c>
      <c r="E40" s="8">
        <f>C42</f>
        <v>0.4</v>
      </c>
    </row>
    <row r="41" spans="1:13">
      <c r="B41" s="8">
        <v>0.4</v>
      </c>
      <c r="C41" s="8">
        <v>0.7</v>
      </c>
      <c r="D41" s="8">
        <v>1</v>
      </c>
      <c r="E41" s="8">
        <f>D42</f>
        <v>0.8</v>
      </c>
      <c r="G41" s="2" t="s">
        <v>10</v>
      </c>
      <c r="H41" s="9">
        <v>0.04</v>
      </c>
    </row>
    <row r="42" spans="1:13">
      <c r="B42" s="8">
        <v>0.5</v>
      </c>
      <c r="C42" s="8">
        <v>0.4</v>
      </c>
      <c r="D42" s="8">
        <v>0.8</v>
      </c>
      <c r="E42" s="8">
        <v>1</v>
      </c>
      <c r="H42" s="9">
        <v>-0.01</v>
      </c>
    </row>
    <row r="44" spans="1:13" ht="17.399999999999999">
      <c r="A44" t="s">
        <v>11</v>
      </c>
      <c r="B44" s="10">
        <f>(B39*B35^2)</f>
        <v>2.2499999999999999E-2</v>
      </c>
      <c r="C44" s="10">
        <f>(C39*B35*C35)</f>
        <v>3.0000000000000001E-3</v>
      </c>
      <c r="D44" s="10">
        <f>(D39*B35*D35)</f>
        <v>1.4999999999999999E-2</v>
      </c>
      <c r="E44" s="10">
        <f>(E39*B35*E35)</f>
        <v>2.2499999999999999E-2</v>
      </c>
      <c r="G44" s="11" t="s">
        <v>12</v>
      </c>
      <c r="H44" s="12">
        <f>0.1^2</f>
        <v>1.0000000000000002E-2</v>
      </c>
      <c r="I44" s="13">
        <v>0</v>
      </c>
      <c r="K44" s="11" t="s">
        <v>13</v>
      </c>
      <c r="L44" s="14">
        <f t="array" ref="L44:M45">MINVERSE(H44:I45)</f>
        <v>99.999999999999986</v>
      </c>
      <c r="M44" s="5">
        <v>0</v>
      </c>
    </row>
    <row r="45" spans="1:13">
      <c r="A45" t="s">
        <v>14</v>
      </c>
      <c r="B45" s="10">
        <f>C44</f>
        <v>3.0000000000000001E-3</v>
      </c>
      <c r="C45" s="10">
        <f>(C40*C35^2)</f>
        <v>4.0000000000000008E-2</v>
      </c>
      <c r="D45" s="10">
        <f>(D40*C35*D35)</f>
        <v>3.4999999999999996E-2</v>
      </c>
      <c r="E45" s="10">
        <f>(E40*C35*E35)</f>
        <v>2.4000000000000004E-2</v>
      </c>
      <c r="H45" s="13">
        <v>0</v>
      </c>
      <c r="I45" s="12">
        <f>0.05^2</f>
        <v>2.5000000000000005E-3</v>
      </c>
      <c r="K45"/>
      <c r="L45" s="5">
        <v>0</v>
      </c>
      <c r="M45" s="14">
        <v>399.99999999999994</v>
      </c>
    </row>
    <row r="46" spans="1:13">
      <c r="A46" s="15" t="s">
        <v>15</v>
      </c>
      <c r="B46" s="10">
        <f>D44</f>
        <v>1.4999999999999999E-2</v>
      </c>
      <c r="C46" s="10">
        <f>D45</f>
        <v>3.4999999999999996E-2</v>
      </c>
      <c r="D46" s="10">
        <f>(D41*D35^2)</f>
        <v>6.25E-2</v>
      </c>
      <c r="E46" s="10">
        <f>E41*D35*E35</f>
        <v>0.06</v>
      </c>
    </row>
    <row r="47" spans="1:13">
      <c r="B47" s="10">
        <f>E44</f>
        <v>2.2499999999999999E-2</v>
      </c>
      <c r="C47" s="10">
        <f>E45</f>
        <v>2.4000000000000004E-2</v>
      </c>
      <c r="D47" s="10">
        <f>E46</f>
        <v>0.06</v>
      </c>
      <c r="E47" s="10">
        <f>(E42*E35^2)</f>
        <v>0.09</v>
      </c>
      <c r="G47" t="s">
        <v>16</v>
      </c>
      <c r="H47" s="5">
        <v>1</v>
      </c>
    </row>
    <row r="49" spans="1:11">
      <c r="A49" t="s">
        <v>17</v>
      </c>
      <c r="B49" s="16">
        <f t="array" ref="B49">MMULT(MMULT(B36:E36,B44:E47),TRANSPOSE(B36:E36))</f>
        <v>2.3560000000000005E-2</v>
      </c>
      <c r="G49" s="17" t="s">
        <v>18</v>
      </c>
      <c r="H49" s="18">
        <f>$H$47*B44</f>
        <v>2.2499999999999999E-2</v>
      </c>
      <c r="I49" s="18">
        <f t="shared" ref="H49:K52" si="0">$H$47*C44</f>
        <v>3.0000000000000001E-3</v>
      </c>
      <c r="J49" s="18">
        <f t="shared" si="0"/>
        <v>1.4999999999999999E-2</v>
      </c>
      <c r="K49" s="18">
        <f t="shared" si="0"/>
        <v>2.2499999999999999E-2</v>
      </c>
    </row>
    <row r="50" spans="1:11">
      <c r="A50" t="s">
        <v>19</v>
      </c>
      <c r="B50" s="16">
        <f>SQRT(B49)</f>
        <v>0.15349267083479917</v>
      </c>
      <c r="H50" s="18">
        <f t="shared" si="0"/>
        <v>3.0000000000000001E-3</v>
      </c>
      <c r="I50" s="18">
        <f t="shared" si="0"/>
        <v>4.0000000000000008E-2</v>
      </c>
      <c r="J50" s="18">
        <f t="shared" si="0"/>
        <v>3.4999999999999996E-2</v>
      </c>
      <c r="K50" s="18">
        <f t="shared" si="0"/>
        <v>2.4000000000000004E-2</v>
      </c>
    </row>
    <row r="51" spans="1:11">
      <c r="B51" s="16"/>
      <c r="H51" s="18">
        <f t="shared" si="0"/>
        <v>1.4999999999999999E-2</v>
      </c>
      <c r="I51" s="18">
        <f t="shared" si="0"/>
        <v>3.4999999999999996E-2</v>
      </c>
      <c r="J51" s="18">
        <f t="shared" si="0"/>
        <v>6.25E-2</v>
      </c>
      <c r="K51" s="18">
        <f t="shared" si="0"/>
        <v>0.06</v>
      </c>
    </row>
    <row r="52" spans="1:11">
      <c r="A52" t="s">
        <v>20</v>
      </c>
      <c r="B52" s="19">
        <v>0.25</v>
      </c>
      <c r="H52" s="18">
        <f t="shared" si="0"/>
        <v>2.2499999999999999E-2</v>
      </c>
      <c r="I52" s="18">
        <f t="shared" si="0"/>
        <v>2.4000000000000004E-2</v>
      </c>
      <c r="J52" s="18">
        <f t="shared" si="0"/>
        <v>0.06</v>
      </c>
      <c r="K52" s="18">
        <f t="shared" si="0"/>
        <v>0.09</v>
      </c>
    </row>
    <row r="53" spans="1:11">
      <c r="A53" t="s">
        <v>21</v>
      </c>
      <c r="B53" s="20">
        <f>B52/B50</f>
        <v>1.6287422626782588</v>
      </c>
    </row>
    <row r="54" spans="1:11" ht="16.2">
      <c r="A54" t="s">
        <v>22</v>
      </c>
      <c r="B54" s="19">
        <v>0.03</v>
      </c>
      <c r="G54" s="21" t="s">
        <v>23</v>
      </c>
      <c r="H54" s="22">
        <f t="array" ref="H54:K57">MINVERSE(H49:K52)</f>
        <v>61.115946233439708</v>
      </c>
      <c r="I54" s="22">
        <v>10.443864229765007</v>
      </c>
      <c r="J54" s="22">
        <v>-8.8192631273571127</v>
      </c>
      <c r="K54" s="22">
        <v>-12.184508268059185</v>
      </c>
    </row>
    <row r="55" spans="1:11">
      <c r="B55" s="19"/>
      <c r="H55" s="22">
        <v>10.443864229765005</v>
      </c>
      <c r="I55" s="22">
        <v>58.746736292428118</v>
      </c>
      <c r="J55" s="22">
        <v>-49.608355091383714</v>
      </c>
      <c r="K55" s="22">
        <v>14.795474325500377</v>
      </c>
    </row>
    <row r="56" spans="1:11">
      <c r="A56" t="s">
        <v>24</v>
      </c>
      <c r="B56" s="23" cm="1">
        <f t="array" ref="B56:B59">B54+B53*MMULT(B44:E47,TRANSPOSE(B36:E36))</f>
        <v>5.4675445279575616E-2</v>
      </c>
      <c r="H56" s="22">
        <v>-8.8192631273571127</v>
      </c>
      <c r="I56" s="22">
        <v>-49.608355091383714</v>
      </c>
      <c r="J56" s="22">
        <v>86.335944299390647</v>
      </c>
      <c r="K56" s="22">
        <v>-42.123585726718808</v>
      </c>
    </row>
    <row r="57" spans="1:11">
      <c r="B57" s="23">
        <v>6.6809575136528659E-2</v>
      </c>
      <c r="H57" s="22">
        <v>-12.184508268059185</v>
      </c>
      <c r="I57" s="22">
        <v>14.79547432550039</v>
      </c>
      <c r="J57" s="22">
        <v>-42.123585726718822</v>
      </c>
      <c r="K57" s="22">
        <v>38.294168842471677</v>
      </c>
    </row>
    <row r="58" spans="1:11">
      <c r="B58" s="23">
        <v>8.7005979193739064E-2</v>
      </c>
      <c r="C58" s="24">
        <f>B58-B57</f>
        <v>2.0196404057210404E-2</v>
      </c>
    </row>
    <row r="59" spans="1:11">
      <c r="B59" s="23">
        <v>9.0589212171631225E-2</v>
      </c>
      <c r="H59" s="3">
        <f t="array" ref="H59:K62">MMULT(H38:K39,MMULT(H54:K57,TRANSPOSE(H38:K39)))</f>
        <v>61.115946233439708</v>
      </c>
      <c r="I59" s="3">
        <v>19.263127357122119</v>
      </c>
      <c r="J59" s="3" t="e">
        <v>#N/A</v>
      </c>
      <c r="K59" s="3" t="e">
        <v>#N/A</v>
      </c>
    </row>
    <row r="60" spans="1:11">
      <c r="B60" s="20"/>
      <c r="H60" s="3">
        <v>19.263127357122116</v>
      </c>
      <c r="I60" s="3">
        <v>244.29939077458619</v>
      </c>
      <c r="J60" s="3" t="e">
        <v>#N/A</v>
      </c>
      <c r="K60" s="3" t="e">
        <v>#N/A</v>
      </c>
    </row>
    <row r="61" spans="1:11">
      <c r="B61" s="20"/>
      <c r="H61" s="3" t="e">
        <v>#N/A</v>
      </c>
      <c r="I61" s="3" t="e">
        <v>#N/A</v>
      </c>
      <c r="J61" s="3" t="e">
        <v>#N/A</v>
      </c>
      <c r="K61" s="3" t="e">
        <v>#N/A</v>
      </c>
    </row>
    <row r="62" spans="1:11">
      <c r="B62" s="20"/>
      <c r="H62" s="3" t="e">
        <v>#N/A</v>
      </c>
      <c r="I62" s="3" t="e">
        <v>#N/A</v>
      </c>
      <c r="J62" s="3" t="e">
        <v>#N/A</v>
      </c>
      <c r="K62" s="3" t="e">
        <v>#N/A</v>
      </c>
    </row>
    <row r="63" spans="1:11">
      <c r="B63" s="20"/>
    </row>
    <row r="65" spans="1:5">
      <c r="A65" t="s">
        <v>25</v>
      </c>
      <c r="B65">
        <f>1/B50</f>
        <v>6.5149690507130353</v>
      </c>
      <c r="C65" s="25">
        <f>SUMPRODUCT($B$36:$D$36,B44:D44)</f>
        <v>1.2899999999999998E-2</v>
      </c>
      <c r="D65" s="26" t="s">
        <v>26</v>
      </c>
      <c r="E65" s="25">
        <f>$B$65*C65</f>
        <v>8.4043100754198144E-2</v>
      </c>
    </row>
    <row r="66" spans="1:5">
      <c r="A66" t="s">
        <v>27</v>
      </c>
      <c r="C66" s="25">
        <f>SUMPRODUCT($B$36:$D$36,B45:D45)</f>
        <v>2.0200000000000003E-2</v>
      </c>
      <c r="E66" s="25">
        <f t="shared" ref="E66:E67" si="1">$B$65*C66</f>
        <v>0.13160237482440332</v>
      </c>
    </row>
    <row r="67" spans="1:5">
      <c r="C67" s="25">
        <f>SUMPRODUCT($B$36:$D$36,B46:D46)</f>
        <v>2.9000000000000001E-2</v>
      </c>
      <c r="E67" s="25">
        <f t="shared" si="1"/>
        <v>0.18893410247067804</v>
      </c>
    </row>
    <row r="69" spans="1:5">
      <c r="A69" t="s">
        <v>28</v>
      </c>
      <c r="B69" s="27" cm="1">
        <f t="array" ref="B69:B71">TRANSPOSE(B36:D36)</f>
        <v>0.4</v>
      </c>
      <c r="C69" s="28">
        <f>E65</f>
        <v>8.4043100754198144E-2</v>
      </c>
      <c r="D69" s="26" t="s">
        <v>26</v>
      </c>
      <c r="E69" s="29">
        <f>B69*C69</f>
        <v>3.3617240301679258E-2</v>
      </c>
    </row>
    <row r="70" spans="1:5">
      <c r="A70" t="s">
        <v>29</v>
      </c>
      <c r="B70" s="27">
        <v>0.3</v>
      </c>
      <c r="C70" s="28">
        <f t="shared" ref="C70:C71" si="2">E66</f>
        <v>0.13160237482440332</v>
      </c>
      <c r="E70" s="29">
        <f t="shared" ref="E70:E71" si="3">B70*C70</f>
        <v>3.9480712447320994E-2</v>
      </c>
    </row>
    <row r="71" spans="1:5">
      <c r="B71" s="27">
        <v>0.2</v>
      </c>
      <c r="C71" s="28">
        <f t="shared" si="2"/>
        <v>0.18893410247067804</v>
      </c>
      <c r="E71" s="29">
        <f t="shared" si="3"/>
        <v>3.7786820494135613E-2</v>
      </c>
    </row>
    <row r="72" spans="1:5">
      <c r="D72" t="s">
        <v>30</v>
      </c>
      <c r="E72" s="30">
        <f>SUM(E69:E71)</f>
        <v>0.11088477324313586</v>
      </c>
    </row>
    <row r="74" spans="1:5">
      <c r="A74" t="s">
        <v>31</v>
      </c>
      <c r="B74" s="31">
        <f>E69/$B$50</f>
        <v>0.2190152801358233</v>
      </c>
    </row>
    <row r="75" spans="1:5">
      <c r="B75" s="31">
        <f>E70/$B$50</f>
        <v>0.25721561969439716</v>
      </c>
    </row>
    <row r="76" spans="1:5">
      <c r="B76" s="31">
        <f>E71/$B$50</f>
        <v>0.24617996604414258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 Goldman Sachs paper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Miguel Ventura Bravo</dc:creator>
  <cp:lastModifiedBy>Jorge Miguel Ventura Bravo</cp:lastModifiedBy>
  <dcterms:created xsi:type="dcterms:W3CDTF">2025-10-13T23:48:05Z</dcterms:created>
  <dcterms:modified xsi:type="dcterms:W3CDTF">2025-10-16T07:52:59Z</dcterms:modified>
</cp:coreProperties>
</file>